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/>
  <xr:revisionPtr revIDLastSave="1" documentId="11_B62CB18F9B89453DB8804450BFB575ACD797E020" xr6:coauthVersionLast="47" xr6:coauthVersionMax="47" xr10:uidLastSave="{B4559CF1-3656-4644-83BC-9FAF7F473B8D}"/>
  <bookViews>
    <workbookView xWindow="0" yWindow="0" windowWidth="0" windowHeight="0" activeTab="9" xr2:uid="{00000000-000D-0000-FFFF-FFFF00000000}"/>
  </bookViews>
  <sheets>
    <sheet name="README" sheetId="1" r:id="rId1"/>
    <sheet name="Employees" sheetId="2" r:id="rId2"/>
    <sheet name="Monthly_HR" sheetId="3" r:id="rId3"/>
    <sheet name="Finance" sheetId="4" r:id="rId4"/>
    <sheet name="Brand" sheetId="5" r:id="rId5"/>
    <sheet name="Customer_Ops" sheetId="6" r:id="rId6"/>
    <sheet name="Correlation_Data" sheetId="7" r:id="rId7"/>
    <sheet name="Metric_Map" sheetId="8" r:id="rId8"/>
    <sheet name="Evidence_Readiness" sheetId="9" r:id="rId9"/>
    <sheet name="Dashboard" sheetId="10" r:id="rId10"/>
    <sheet name="Lists" sheetId="11" r:id="rId1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0" l="1"/>
  <c r="G26" i="10"/>
  <c r="F26" i="10"/>
  <c r="E26" i="10"/>
  <c r="D26" i="10"/>
  <c r="C26" i="10"/>
  <c r="B26" i="10"/>
  <c r="H25" i="10"/>
  <c r="G25" i="10"/>
  <c r="F25" i="10"/>
  <c r="E25" i="10"/>
  <c r="D25" i="10"/>
  <c r="C25" i="10"/>
  <c r="B25" i="10"/>
  <c r="H24" i="10"/>
  <c r="G24" i="10"/>
  <c r="F24" i="10"/>
  <c r="E24" i="10"/>
  <c r="D24" i="10"/>
  <c r="C24" i="10"/>
  <c r="B24" i="10"/>
  <c r="H23" i="10"/>
  <c r="G23" i="10"/>
  <c r="F23" i="10"/>
  <c r="E23" i="10"/>
  <c r="D23" i="10"/>
  <c r="C23" i="10"/>
  <c r="B23" i="10"/>
  <c r="H22" i="10"/>
  <c r="G22" i="10"/>
  <c r="F22" i="10"/>
  <c r="E22" i="10"/>
  <c r="D22" i="10"/>
  <c r="C22" i="10"/>
  <c r="B22" i="10"/>
  <c r="H21" i="10"/>
  <c r="G21" i="10"/>
  <c r="F21" i="10"/>
  <c r="E21" i="10"/>
  <c r="D21" i="10"/>
  <c r="C21" i="10"/>
  <c r="B21" i="10"/>
  <c r="H20" i="10"/>
  <c r="G20" i="10"/>
  <c r="F20" i="10"/>
  <c r="E20" i="10"/>
  <c r="D20" i="10"/>
  <c r="C20" i="10"/>
  <c r="B20" i="10"/>
  <c r="H19" i="10"/>
  <c r="G19" i="10"/>
  <c r="F19" i="10"/>
  <c r="E19" i="10"/>
  <c r="D19" i="10"/>
  <c r="C19" i="10"/>
  <c r="B19" i="10"/>
  <c r="H18" i="10"/>
  <c r="G18" i="10"/>
  <c r="F18" i="10"/>
  <c r="E18" i="10"/>
  <c r="D18" i="10"/>
  <c r="C18" i="10"/>
  <c r="B18" i="10"/>
  <c r="H17" i="10"/>
  <c r="G17" i="10"/>
  <c r="F17" i="10"/>
  <c r="E17" i="10"/>
  <c r="D17" i="10"/>
  <c r="C17" i="10"/>
  <c r="B17" i="10"/>
  <c r="B13" i="10"/>
  <c r="B12" i="10"/>
  <c r="B11" i="10"/>
  <c r="F10" i="10"/>
  <c r="E10" i="10"/>
  <c r="B10" i="10"/>
  <c r="F9" i="10"/>
  <c r="E9" i="10"/>
  <c r="B9" i="10"/>
  <c r="F8" i="10"/>
  <c r="E8" i="10"/>
  <c r="B8" i="10"/>
  <c r="F7" i="10"/>
  <c r="E7" i="10"/>
  <c r="B7" i="10"/>
  <c r="F6" i="10"/>
  <c r="E6" i="10"/>
  <c r="B6" i="10"/>
  <c r="F5" i="10"/>
  <c r="E5" i="10"/>
  <c r="B5" i="10"/>
  <c r="F4" i="10"/>
  <c r="E4" i="10"/>
  <c r="B4" i="10"/>
</calcChain>
</file>

<file path=xl/sharedStrings.xml><?xml version="1.0" encoding="utf-8"?>
<sst xmlns="http://schemas.openxmlformats.org/spreadsheetml/2006/main" count="16988" uniqueCount="1975">
  <si>
    <t>Sindibad Dummy Correlation Database - Doha Oasis Company</t>
  </si>
  <si>
    <t>Purpose</t>
  </si>
  <si>
    <t>Synthetic workbook to feed Sindibad and demonstrate how human capital metrics correlate with finance, brand, customer experience, operations, risk and ISO 30414 readiness.</t>
  </si>
  <si>
    <t>Sheet</t>
  </si>
  <si>
    <t>What it contains</t>
  </si>
  <si>
    <t>How to use it</t>
  </si>
  <si>
    <t>Employees</t>
  </si>
  <si>
    <t>1,000 dummy employee records</t>
  </si>
  <si>
    <t>Use for workforce segmentation and HR drill-down.</t>
  </si>
  <si>
    <t>Monthly_HR</t>
  </si>
  <si>
    <t>Department/month HR facts</t>
  </si>
  <si>
    <t>Join on Month + Department.</t>
  </si>
  <si>
    <t>Finance</t>
  </si>
  <si>
    <t>Department/month finance facts</t>
  </si>
  <si>
    <t>Correlate cost, revenue, productivity and ROI.</t>
  </si>
  <si>
    <t>Brand</t>
  </si>
  <si>
    <t>Department/month brand facts</t>
  </si>
  <si>
    <t>Correlate engagement, offer acceptance, advocacy and reputation.</t>
  </si>
  <si>
    <t>Customer_Ops</t>
  </si>
  <si>
    <t>Department/month customer and operations facts</t>
  </si>
  <si>
    <t>Correlate training, absence and turnover with service outcomes.</t>
  </si>
  <si>
    <t>Correlation_Data</t>
  </si>
  <si>
    <t>Already joined fact table</t>
  </si>
  <si>
    <t>Best table to import into Sindibad for demo analytics.</t>
  </si>
  <si>
    <t>Metric_Map</t>
  </si>
  <si>
    <t>Interpretation library</t>
  </si>
  <si>
    <t>Use to generate business narrative and recommendations.</t>
  </si>
  <si>
    <t>Evidence_Readiness</t>
  </si>
  <si>
    <t>ISO evidence tracker</t>
  </si>
  <si>
    <t>Use to show audit and accreditation readiness.</t>
  </si>
  <si>
    <t>Dashboard</t>
  </si>
  <si>
    <t>Formula-driven summary</t>
  </si>
  <si>
    <t>Use as a leadership demo page.</t>
  </si>
  <si>
    <t>Employee_ID</t>
  </si>
  <si>
    <t>Employee_Name</t>
  </si>
  <si>
    <t>Department</t>
  </si>
  <si>
    <t>Job_Family</t>
  </si>
  <si>
    <t>Job_Title</t>
  </si>
  <si>
    <t>Grade</t>
  </si>
  <si>
    <t>Contract_Type</t>
  </si>
  <si>
    <t>Gender</t>
  </si>
  <si>
    <t>Nationality</t>
  </si>
  <si>
    <t>Hire_Date</t>
  </si>
  <si>
    <t>Tenure_Years</t>
  </si>
  <si>
    <t>Age</t>
  </si>
  <si>
    <t>Monthly_Salary_QAR</t>
  </si>
  <si>
    <t>Annual_Workforce_Cost_QAR</t>
  </si>
  <si>
    <t>Critical_Role</t>
  </si>
  <si>
    <t>Customer_Facing</t>
  </si>
  <si>
    <t>Performance_Score</t>
  </si>
  <si>
    <t>Engagement_Score</t>
  </si>
  <si>
    <t>Training_Hours_YTD</t>
  </si>
  <si>
    <t>Mandatory_Training_Complete</t>
  </si>
  <si>
    <t>Absence_Days_YTD</t>
  </si>
  <si>
    <t>Overtime_Hours_YTD</t>
  </si>
  <si>
    <t>Successor_Ready</t>
  </si>
  <si>
    <t>High_Performer</t>
  </si>
  <si>
    <t>Exit_Risk</t>
  </si>
  <si>
    <t>Linked_Business_Unit</t>
  </si>
  <si>
    <t>DOC-0001</t>
  </si>
  <si>
    <t>Nour Nair</t>
  </si>
  <si>
    <t>IT</t>
  </si>
  <si>
    <t>Cybersecurity</t>
  </si>
  <si>
    <t>Cybersecurity G2</t>
  </si>
  <si>
    <t>G2</t>
  </si>
  <si>
    <t>Permanent</t>
  </si>
  <si>
    <t>Female</t>
  </si>
  <si>
    <t>Indian</t>
  </si>
  <si>
    <t>No</t>
  </si>
  <si>
    <t>Yes</t>
  </si>
  <si>
    <t>N/A</t>
  </si>
  <si>
    <t>Low</t>
  </si>
  <si>
    <t>DOC-0002</t>
  </si>
  <si>
    <t>Lina Singh</t>
  </si>
  <si>
    <t>Facilities</t>
  </si>
  <si>
    <t>Maintenance</t>
  </si>
  <si>
    <t>Maintenance G4</t>
  </si>
  <si>
    <t>G4</t>
  </si>
  <si>
    <t>Male</t>
  </si>
  <si>
    <t>Lebanese</t>
  </si>
  <si>
    <t>DOC-0003</t>
  </si>
  <si>
    <t>Sara Hassan</t>
  </si>
  <si>
    <t>Accounting</t>
  </si>
  <si>
    <t>Accounting M1</t>
  </si>
  <si>
    <t>M1</t>
  </si>
  <si>
    <t>Fixed-term</t>
  </si>
  <si>
    <t>Medium</t>
  </si>
  <si>
    <t>DOC-0004</t>
  </si>
  <si>
    <t>Maya Youssef</t>
  </si>
  <si>
    <t>Hospitality</t>
  </si>
  <si>
    <t>Guest Services</t>
  </si>
  <si>
    <t>Guest Services G1</t>
  </si>
  <si>
    <t>G1</t>
  </si>
  <si>
    <t>Egyptian</t>
  </si>
  <si>
    <t>DOC-0005</t>
  </si>
  <si>
    <t>Lina Ali</t>
  </si>
  <si>
    <t>Operations</t>
  </si>
  <si>
    <t>Planning</t>
  </si>
  <si>
    <t>Planning G4</t>
  </si>
  <si>
    <t>Qatari</t>
  </si>
  <si>
    <t>DOC-0006</t>
  </si>
  <si>
    <t>Maya Mansour</t>
  </si>
  <si>
    <t>Retail</t>
  </si>
  <si>
    <t>Sales</t>
  </si>
  <si>
    <t>Sales G1</t>
  </si>
  <si>
    <t>Tunisian</t>
  </si>
  <si>
    <t>DOC-0007</t>
  </si>
  <si>
    <t>Priya Rahman</t>
  </si>
  <si>
    <t>Security</t>
  </si>
  <si>
    <t>Security Operations</t>
  </si>
  <si>
    <t>Security Operations G1</t>
  </si>
  <si>
    <t>Nepali</t>
  </si>
  <si>
    <t>DOC-0008</t>
  </si>
  <si>
    <t>Lea Ibrahim</t>
  </si>
  <si>
    <t>Planning M1</t>
  </si>
  <si>
    <t>Jordanian</t>
  </si>
  <si>
    <t>DOC-0009</t>
  </si>
  <si>
    <t>Noor Singh</t>
  </si>
  <si>
    <t>Cleaning</t>
  </si>
  <si>
    <t>Cleaning G3</t>
  </si>
  <si>
    <t>G3</t>
  </si>
  <si>
    <t>Pakistani</t>
  </si>
  <si>
    <t>DOC-0010</t>
  </si>
  <si>
    <t>Priya Ibrahim</t>
  </si>
  <si>
    <t>HR</t>
  </si>
  <si>
    <t>Recruitment</t>
  </si>
  <si>
    <t>Recruitment G2</t>
  </si>
  <si>
    <t>DOC-0011</t>
  </si>
  <si>
    <t>Priya Patel</t>
  </si>
  <si>
    <t>Operations Management</t>
  </si>
  <si>
    <t>Operations Management G3</t>
  </si>
  <si>
    <t>DOC-0012</t>
  </si>
  <si>
    <t>Hana Nair</t>
  </si>
  <si>
    <t>Marketing</t>
  </si>
  <si>
    <t>Digital Marketing</t>
  </si>
  <si>
    <t>Digital Marketing G5</t>
  </si>
  <si>
    <t>G5</t>
  </si>
  <si>
    <t>DOC-0013</t>
  </si>
  <si>
    <t>Hana Ali</t>
  </si>
  <si>
    <t>HSE</t>
  </si>
  <si>
    <t>HSE G2</t>
  </si>
  <si>
    <t>DOC-0014</t>
  </si>
  <si>
    <t>Maya Thomas</t>
  </si>
  <si>
    <t>Customer Experience</t>
  </si>
  <si>
    <t>Complaints</t>
  </si>
  <si>
    <t>Complaints G4</t>
  </si>
  <si>
    <t>DOC-0015</t>
  </si>
  <si>
    <t>Noor Farah</t>
  </si>
  <si>
    <t>Filipino</t>
  </si>
  <si>
    <t>DOC-0016</t>
  </si>
  <si>
    <t>Maya Haddad</t>
  </si>
  <si>
    <t>Maintenance M1</t>
  </si>
  <si>
    <t>DOC-0017</t>
  </si>
  <si>
    <t>Yousef Boulos</t>
  </si>
  <si>
    <t>Housekeeping</t>
  </si>
  <si>
    <t>Housekeeping G3</t>
  </si>
  <si>
    <t>DOC-0018</t>
  </si>
  <si>
    <t>Aisha Farah</t>
  </si>
  <si>
    <t>Call Centre</t>
  </si>
  <si>
    <t>Call Centre G5</t>
  </si>
  <si>
    <t>DOC-0019</t>
  </si>
  <si>
    <t>Rami Fernandes</t>
  </si>
  <si>
    <t>Quality</t>
  </si>
  <si>
    <t>Quality G5</t>
  </si>
  <si>
    <t>DOC-0020</t>
  </si>
  <si>
    <t>Daniel Youssef</t>
  </si>
  <si>
    <t>Store Management</t>
  </si>
  <si>
    <t>Store Management G5</t>
  </si>
  <si>
    <t>DOC-0021</t>
  </si>
  <si>
    <t>Yousef Farah</t>
  </si>
  <si>
    <t>Store Management G4</t>
  </si>
  <si>
    <t>DOC-0022</t>
  </si>
  <si>
    <t>Omar Khan</t>
  </si>
  <si>
    <t>Call Centre M2</t>
  </si>
  <si>
    <t>M2</t>
  </si>
  <si>
    <t>DOC-0023</t>
  </si>
  <si>
    <t>Lea Mansour</t>
  </si>
  <si>
    <t>Support</t>
  </si>
  <si>
    <t>Support G4</t>
  </si>
  <si>
    <t>DOC-0024</t>
  </si>
  <si>
    <t>Maya Rahman</t>
  </si>
  <si>
    <t>DOC-0025</t>
  </si>
  <si>
    <t>Lina Ibrahim</t>
  </si>
  <si>
    <t>Visual Merchandising</t>
  </si>
  <si>
    <t>Visual Merchandising G3</t>
  </si>
  <si>
    <t>DOC-0026</t>
  </si>
  <si>
    <t>Karim Kfoury</t>
  </si>
  <si>
    <t>Guest Services G3</t>
  </si>
  <si>
    <t>DOC-0027</t>
  </si>
  <si>
    <t>Rami Khan</t>
  </si>
  <si>
    <t>Maintenance D1</t>
  </si>
  <si>
    <t>D1</t>
  </si>
  <si>
    <t>DOC-0028</t>
  </si>
  <si>
    <t>Samir Garcia</t>
  </si>
  <si>
    <t>Access Control</t>
  </si>
  <si>
    <t>Access Control G2</t>
  </si>
  <si>
    <t>DOC-0029</t>
  </si>
  <si>
    <t>HSE G3</t>
  </si>
  <si>
    <t>DOC-0030</t>
  </si>
  <si>
    <t>Sara Ibrahim</t>
  </si>
  <si>
    <t>Procurement</t>
  </si>
  <si>
    <t>Procurement M2</t>
  </si>
  <si>
    <t>DOC-0031</t>
  </si>
  <si>
    <t>Nour Santos</t>
  </si>
  <si>
    <t>Maintenance G2</t>
  </si>
  <si>
    <t>DOC-0032</t>
  </si>
  <si>
    <t>Omar Mansour</t>
  </si>
  <si>
    <t>VIP Services</t>
  </si>
  <si>
    <t>VIP Services G2</t>
  </si>
  <si>
    <t>DOC-0033</t>
  </si>
  <si>
    <t>Mina Farah</t>
  </si>
  <si>
    <t>DOC-0034</t>
  </si>
  <si>
    <t>Lea Garcia</t>
  </si>
  <si>
    <t>Content</t>
  </si>
  <si>
    <t>Content D1</t>
  </si>
  <si>
    <t>Outsourced</t>
  </si>
  <si>
    <t>DOC-0035</t>
  </si>
  <si>
    <t>Noor Mansour</t>
  </si>
  <si>
    <t>Applications</t>
  </si>
  <si>
    <t>Applications G2</t>
  </si>
  <si>
    <t>DOC-0036</t>
  </si>
  <si>
    <t>Samir Ali</t>
  </si>
  <si>
    <t>Control Room</t>
  </si>
  <si>
    <t>Control Room G1</t>
  </si>
  <si>
    <t>DOC-0037</t>
  </si>
  <si>
    <t>Rami Youssef</t>
  </si>
  <si>
    <t>Complaints M2</t>
  </si>
  <si>
    <t>Consultant</t>
  </si>
  <si>
    <t>DOC-0038</t>
  </si>
  <si>
    <t>Mark Farah</t>
  </si>
  <si>
    <t>Concierge</t>
  </si>
  <si>
    <t>Concierge G2</t>
  </si>
  <si>
    <t>DOC-0039</t>
  </si>
  <si>
    <t>Lea Thomas</t>
  </si>
  <si>
    <t>Logistics</t>
  </si>
  <si>
    <t>Logistics G4</t>
  </si>
  <si>
    <t>Sri Lankan</t>
  </si>
  <si>
    <t>DOC-0040</t>
  </si>
  <si>
    <t>Priya Khan</t>
  </si>
  <si>
    <t>F&amp;B</t>
  </si>
  <si>
    <t>F&amp;B G1</t>
  </si>
  <si>
    <t>DOC-0041</t>
  </si>
  <si>
    <t>Ahmed Garcia</t>
  </si>
  <si>
    <t>L&amp;D</t>
  </si>
  <si>
    <t>L&amp;D G1</t>
  </si>
  <si>
    <t>DOC-0042</t>
  </si>
  <si>
    <t>Lea Santos</t>
  </si>
  <si>
    <t>Logistics G1</t>
  </si>
  <si>
    <t>DOC-0043</t>
  </si>
  <si>
    <t>Budgeting</t>
  </si>
  <si>
    <t>Budgeting M2</t>
  </si>
  <si>
    <t>DOC-0044</t>
  </si>
  <si>
    <t>Sara Thomas</t>
  </si>
  <si>
    <t>Guest Services G2</t>
  </si>
  <si>
    <t>DOC-0045</t>
  </si>
  <si>
    <t>Rami Kfoury</t>
  </si>
  <si>
    <t>DOC-0046</t>
  </si>
  <si>
    <t>Nour Kfoury</t>
  </si>
  <si>
    <t>Brand G5</t>
  </si>
  <si>
    <t>DOC-0047</t>
  </si>
  <si>
    <t>Karim Farah</t>
  </si>
  <si>
    <t>F&amp;B G2</t>
  </si>
  <si>
    <t>DOC-0048</t>
  </si>
  <si>
    <t>Samir Khan</t>
  </si>
  <si>
    <t>Security Operations G2</t>
  </si>
  <si>
    <t>DOC-0049</t>
  </si>
  <si>
    <t>Lina Mansour</t>
  </si>
  <si>
    <t>DOC-0050</t>
  </si>
  <si>
    <t>Omar Thomas</t>
  </si>
  <si>
    <t>DOC-0051</t>
  </si>
  <si>
    <t>Maya Davis</t>
  </si>
  <si>
    <t>Operations Management G1</t>
  </si>
  <si>
    <t>DOC-0052</t>
  </si>
  <si>
    <t>Mark Santos</t>
  </si>
  <si>
    <t>DOC-0053</t>
  </si>
  <si>
    <t>Hana Boulos</t>
  </si>
  <si>
    <t>Control Room G3</t>
  </si>
  <si>
    <t>DOC-0054</t>
  </si>
  <si>
    <t>Mark Thomas</t>
  </si>
  <si>
    <t>Sales G2</t>
  </si>
  <si>
    <t>DOC-0055</t>
  </si>
  <si>
    <t>Grace Santos</t>
  </si>
  <si>
    <t>DOC-0056</t>
  </si>
  <si>
    <t>Omar Santos</t>
  </si>
  <si>
    <t>Planning G5</t>
  </si>
  <si>
    <t>DOC-0057</t>
  </si>
  <si>
    <t>Hana Patel</t>
  </si>
  <si>
    <t>Events</t>
  </si>
  <si>
    <t>Events G2</t>
  </si>
  <si>
    <t>DOC-0058</t>
  </si>
  <si>
    <t>Maya Singh</t>
  </si>
  <si>
    <t>DOC-0059</t>
  </si>
  <si>
    <t>Noor Ali</t>
  </si>
  <si>
    <t>Access Control G1</t>
  </si>
  <si>
    <t>DOC-0060</t>
  </si>
  <si>
    <t>Karim Nair</t>
  </si>
  <si>
    <t>Access Control G3</t>
  </si>
  <si>
    <t>DOC-0061</t>
  </si>
  <si>
    <t>Aisha Patel</t>
  </si>
  <si>
    <t>DOC-0062</t>
  </si>
  <si>
    <t>Rami Garcia</t>
  </si>
  <si>
    <t>DOC-0063</t>
  </si>
  <si>
    <t>Hana Hassan</t>
  </si>
  <si>
    <t>DOC-0064</t>
  </si>
  <si>
    <t>Karim Boulos</t>
  </si>
  <si>
    <t>DOC-0065</t>
  </si>
  <si>
    <t>Karim Patel</t>
  </si>
  <si>
    <t>Maintenance G3</t>
  </si>
  <si>
    <t>DOC-0066</t>
  </si>
  <si>
    <t>Rami Davis</t>
  </si>
  <si>
    <t>Security Operations M1</t>
  </si>
  <si>
    <t>DOC-0067</t>
  </si>
  <si>
    <t>Omar Patel</t>
  </si>
  <si>
    <t>Engineering</t>
  </si>
  <si>
    <t>Engineering M2</t>
  </si>
  <si>
    <t>DOC-0068</t>
  </si>
  <si>
    <t>Ahmed Davis</t>
  </si>
  <si>
    <t>DOC-0069</t>
  </si>
  <si>
    <t>Aisha Fernandes</t>
  </si>
  <si>
    <t>Content G1</t>
  </si>
  <si>
    <t>DOC-0070</t>
  </si>
  <si>
    <t>Ahmed Kfoury</t>
  </si>
  <si>
    <t>Concierge M1</t>
  </si>
  <si>
    <t>DOC-0071</t>
  </si>
  <si>
    <t>Daniel Rahman</t>
  </si>
  <si>
    <t>Housekeeping G2</t>
  </si>
  <si>
    <t>DOC-0072</t>
  </si>
  <si>
    <t>Yousef Hassan</t>
  </si>
  <si>
    <t>DOC-0073</t>
  </si>
  <si>
    <t>Yousef Patel</t>
  </si>
  <si>
    <t>Recruitment G3</t>
  </si>
  <si>
    <t>DOC-0074</t>
  </si>
  <si>
    <t>Hana Santos</t>
  </si>
  <si>
    <t>Guest Services G5</t>
  </si>
  <si>
    <t>DOC-0075</t>
  </si>
  <si>
    <t>Ahmed Santos</t>
  </si>
  <si>
    <t>Guest Services M2</t>
  </si>
  <si>
    <t>DOC-0076</t>
  </si>
  <si>
    <t>Sara Farah</t>
  </si>
  <si>
    <t>Inventory</t>
  </si>
  <si>
    <t>Inventory G4</t>
  </si>
  <si>
    <t>DOC-0077</t>
  </si>
  <si>
    <t>Ahmed Ibrahim</t>
  </si>
  <si>
    <t>Brand G3</t>
  </si>
  <si>
    <t>DOC-0078</t>
  </si>
  <si>
    <t>Hana Ibrahim</t>
  </si>
  <si>
    <t>DOC-0079</t>
  </si>
  <si>
    <t>Khaled Rahman</t>
  </si>
  <si>
    <t>Guest Services G4</t>
  </si>
  <si>
    <t>DOC-0080</t>
  </si>
  <si>
    <t>Karim Youssef</t>
  </si>
  <si>
    <t>Complaints M1</t>
  </si>
  <si>
    <t>DOC-0081</t>
  </si>
  <si>
    <t>DOC-0082</t>
  </si>
  <si>
    <t>Omar Nair</t>
  </si>
  <si>
    <t>Security Operations G4</t>
  </si>
  <si>
    <t>DOC-0083</t>
  </si>
  <si>
    <t>Priya Fernandes</t>
  </si>
  <si>
    <t>Engineering G3</t>
  </si>
  <si>
    <t>DOC-0084</t>
  </si>
  <si>
    <t>Ahmed Farah</t>
  </si>
  <si>
    <t>Applications G1</t>
  </si>
  <si>
    <t>DOC-0085</t>
  </si>
  <si>
    <t>Yousef Ibrahim</t>
  </si>
  <si>
    <t>DOC-0086</t>
  </si>
  <si>
    <t>Mina Patel</t>
  </si>
  <si>
    <t>High</t>
  </si>
  <si>
    <t>DOC-0087</t>
  </si>
  <si>
    <t>Samir Fernandes</t>
  </si>
  <si>
    <t>Sales G3</t>
  </si>
  <si>
    <t>DOC-0088</t>
  </si>
  <si>
    <t>Priya Boulos</t>
  </si>
  <si>
    <t>F&amp;B G3</t>
  </si>
  <si>
    <t>DOC-0089</t>
  </si>
  <si>
    <t>Priya Haddad</t>
  </si>
  <si>
    <t>Control Room M1</t>
  </si>
  <si>
    <t>DOC-0090</t>
  </si>
  <si>
    <t>Nour Hassan</t>
  </si>
  <si>
    <t>Control Room G4</t>
  </si>
  <si>
    <t>DOC-0091</t>
  </si>
  <si>
    <t>Ahmed Nair</t>
  </si>
  <si>
    <t>Access Control G4</t>
  </si>
  <si>
    <t>DOC-0092</t>
  </si>
  <si>
    <t>Omar Ibrahim</t>
  </si>
  <si>
    <t>F&amp;B G5</t>
  </si>
  <si>
    <t>DOC-0093</t>
  </si>
  <si>
    <t>Planning G3</t>
  </si>
  <si>
    <t>DOC-0094</t>
  </si>
  <si>
    <t>Omar Garcia</t>
  </si>
  <si>
    <t>DOC-0095</t>
  </si>
  <si>
    <t>Mark Fernandes</t>
  </si>
  <si>
    <t>Employee Relations</t>
  </si>
  <si>
    <t>Employee Relations G4</t>
  </si>
  <si>
    <t>DOC-0096</t>
  </si>
  <si>
    <t>Lea Hassan</t>
  </si>
  <si>
    <t>Recruitment G1</t>
  </si>
  <si>
    <t>DOC-0097</t>
  </si>
  <si>
    <t>Mina Youssef</t>
  </si>
  <si>
    <t>DOC-0098</t>
  </si>
  <si>
    <t>Omar Smith</t>
  </si>
  <si>
    <t>VIP Services G3</t>
  </si>
  <si>
    <t>DOC-0099</t>
  </si>
  <si>
    <t>Samir Santos</t>
  </si>
  <si>
    <t>Quality M1</t>
  </si>
  <si>
    <t>DOC-0100</t>
  </si>
  <si>
    <t>Logistics G5</t>
  </si>
  <si>
    <t>DOC-0101</t>
  </si>
  <si>
    <t>Mina Garcia</t>
  </si>
  <si>
    <t>Logistics G3</t>
  </si>
  <si>
    <t>DOC-0102</t>
  </si>
  <si>
    <t>Maintenance G1</t>
  </si>
  <si>
    <t>DOC-0103</t>
  </si>
  <si>
    <t>Aisha Santos</t>
  </si>
  <si>
    <t>DOC-0104</t>
  </si>
  <si>
    <t>Nour Youssef</t>
  </si>
  <si>
    <t>Visual Merchandising G4</t>
  </si>
  <si>
    <t>DOC-0105</t>
  </si>
  <si>
    <t>Grace Singh</t>
  </si>
  <si>
    <t>Employee Relations G2</t>
  </si>
  <si>
    <t>DOC-0106</t>
  </si>
  <si>
    <t>Aisha Kfoury</t>
  </si>
  <si>
    <t>Payroll</t>
  </si>
  <si>
    <t>Payroll G4</t>
  </si>
  <si>
    <t>DOC-0107</t>
  </si>
  <si>
    <t>Samir Singh</t>
  </si>
  <si>
    <t>DOC-0108</t>
  </si>
  <si>
    <t>Nour Davis</t>
  </si>
  <si>
    <t>Engineering G4</t>
  </si>
  <si>
    <t>DOC-0109</t>
  </si>
  <si>
    <t>Yousef Smith</t>
  </si>
  <si>
    <t>DOC-0110</t>
  </si>
  <si>
    <t>Recruitment G4</t>
  </si>
  <si>
    <t>DOC-0111</t>
  </si>
  <si>
    <t>DOC-0112</t>
  </si>
  <si>
    <t>Grace Smith</t>
  </si>
  <si>
    <t>DOC-0113</t>
  </si>
  <si>
    <t>Maya Nair</t>
  </si>
  <si>
    <t>DOC-0114</t>
  </si>
  <si>
    <t>Cleaning G2</t>
  </si>
  <si>
    <t>DOC-0115</t>
  </si>
  <si>
    <t>Daniel Boulos</t>
  </si>
  <si>
    <t>Payroll G2</t>
  </si>
  <si>
    <t>DOC-0116</t>
  </si>
  <si>
    <t>Mina Santos</t>
  </si>
  <si>
    <t>VIP Services G1</t>
  </si>
  <si>
    <t>DOC-0117</t>
  </si>
  <si>
    <t>Yousef Thomas</t>
  </si>
  <si>
    <t>Cybersecurity G5</t>
  </si>
  <si>
    <t>DOC-0118</t>
  </si>
  <si>
    <t>Karim Garcia</t>
  </si>
  <si>
    <t>Accounting G5</t>
  </si>
  <si>
    <t>DOC-0119</t>
  </si>
  <si>
    <t>Samir Nair</t>
  </si>
  <si>
    <t>DOC-0120</t>
  </si>
  <si>
    <t>Housekeeping G1</t>
  </si>
  <si>
    <t>Kenyan</t>
  </si>
  <si>
    <t>DOC-0121</t>
  </si>
  <si>
    <t>Daniel Mansour</t>
  </si>
  <si>
    <t>Sales G4</t>
  </si>
  <si>
    <t>DOC-0122</t>
  </si>
  <si>
    <t>Nour Ibrahim</t>
  </si>
  <si>
    <t>DOC-0123</t>
  </si>
  <si>
    <t>DOC-0124</t>
  </si>
  <si>
    <t>Content G3</t>
  </si>
  <si>
    <t>DOC-0125</t>
  </si>
  <si>
    <t>HR Operations</t>
  </si>
  <si>
    <t>HR Operations G5</t>
  </si>
  <si>
    <t>British</t>
  </si>
  <si>
    <t>DOC-0126</t>
  </si>
  <si>
    <t>Inventory G3</t>
  </si>
  <si>
    <t>DOC-0127</t>
  </si>
  <si>
    <t>Noor Rahman</t>
  </si>
  <si>
    <t>Inventory G2</t>
  </si>
  <si>
    <t>DOC-0128</t>
  </si>
  <si>
    <t>Ahmed Youssef</t>
  </si>
  <si>
    <t>DOC-0129</t>
  </si>
  <si>
    <t>Lina Rahman</t>
  </si>
  <si>
    <t>DOC-0130</t>
  </si>
  <si>
    <t>L&amp;D G3</t>
  </si>
  <si>
    <t>DOC-0131</t>
  </si>
  <si>
    <t>Lina Garcia</t>
  </si>
  <si>
    <t>DOC-0132</t>
  </si>
  <si>
    <t>Grace Nair</t>
  </si>
  <si>
    <t>Events G5</t>
  </si>
  <si>
    <t>DOC-0133</t>
  </si>
  <si>
    <t>Maya Farah</t>
  </si>
  <si>
    <t>Procurement G5</t>
  </si>
  <si>
    <t>DOC-0134</t>
  </si>
  <si>
    <t>DOC-0135</t>
  </si>
  <si>
    <t>Applications M2</t>
  </si>
  <si>
    <t>DOC-0136</t>
  </si>
  <si>
    <t>Omar Rahman</t>
  </si>
  <si>
    <t>Payroll G3</t>
  </si>
  <si>
    <t>DOC-0137</t>
  </si>
  <si>
    <t>DOC-0138</t>
  </si>
  <si>
    <t>Store Management M2</t>
  </si>
  <si>
    <t>DOC-0139</t>
  </si>
  <si>
    <t>Aisha Hassan</t>
  </si>
  <si>
    <t>Quality G1</t>
  </si>
  <si>
    <t>DOC-0140</t>
  </si>
  <si>
    <t>Khaled Thomas</t>
  </si>
  <si>
    <t>Operations Management G2</t>
  </si>
  <si>
    <t>DOC-0141</t>
  </si>
  <si>
    <t>Sales G5</t>
  </si>
  <si>
    <t>DOC-0142</t>
  </si>
  <si>
    <t>Concierge G4</t>
  </si>
  <si>
    <t>DOC-0143</t>
  </si>
  <si>
    <t>Sara Ali</t>
  </si>
  <si>
    <t>DOC-0144</t>
  </si>
  <si>
    <t>Mark Garcia</t>
  </si>
  <si>
    <t>DOC-0145</t>
  </si>
  <si>
    <t>Cleaning G4</t>
  </si>
  <si>
    <t>DOC-0146</t>
  </si>
  <si>
    <t>Noor Boulos</t>
  </si>
  <si>
    <t>DOC-0147</t>
  </si>
  <si>
    <t>Khaled Mansour</t>
  </si>
  <si>
    <t>DOC-0148</t>
  </si>
  <si>
    <t>DOC-0149</t>
  </si>
  <si>
    <t>Rami Rahman</t>
  </si>
  <si>
    <t>DOC-0150</t>
  </si>
  <si>
    <t>Accounting G4</t>
  </si>
  <si>
    <t>DOC-0151</t>
  </si>
  <si>
    <t>Omar Ali</t>
  </si>
  <si>
    <t>Inventory G5</t>
  </si>
  <si>
    <t>DOC-0152</t>
  </si>
  <si>
    <t>Sara Davis</t>
  </si>
  <si>
    <t>Engineering G5</t>
  </si>
  <si>
    <t>DOC-0153</t>
  </si>
  <si>
    <t>Karim Thomas</t>
  </si>
  <si>
    <t>DOC-0154</t>
  </si>
  <si>
    <t>Cleaning G5</t>
  </si>
  <si>
    <t>DOC-0155</t>
  </si>
  <si>
    <t>Mina Kfoury</t>
  </si>
  <si>
    <t>Payroll G1</t>
  </si>
  <si>
    <t>DOC-0156</t>
  </si>
  <si>
    <t>DOC-0157</t>
  </si>
  <si>
    <t>Khaled Singh</t>
  </si>
  <si>
    <t>DOC-0158</t>
  </si>
  <si>
    <t>Priya Garcia</t>
  </si>
  <si>
    <t>HSE M1</t>
  </si>
  <si>
    <t>DOC-0159</t>
  </si>
  <si>
    <t>Procurement G3</t>
  </si>
  <si>
    <t>DOC-0160</t>
  </si>
  <si>
    <t>DOC-0161</t>
  </si>
  <si>
    <t>Control Room G5</t>
  </si>
  <si>
    <t>DOC-0162</t>
  </si>
  <si>
    <t>L&amp;D M2</t>
  </si>
  <si>
    <t>DOC-0163</t>
  </si>
  <si>
    <t>Maya Fernandes</t>
  </si>
  <si>
    <t>Concierge G3</t>
  </si>
  <si>
    <t>DOC-0164</t>
  </si>
  <si>
    <t>Ahmed Rahman</t>
  </si>
  <si>
    <t>Customer Care</t>
  </si>
  <si>
    <t>Customer Care G1</t>
  </si>
  <si>
    <t>Moroccan</t>
  </si>
  <si>
    <t>DOC-0165</t>
  </si>
  <si>
    <t>Complaints G1</t>
  </si>
  <si>
    <t>DOC-0166</t>
  </si>
  <si>
    <t>Mina Davis</t>
  </si>
  <si>
    <t>Security Operations G5</t>
  </si>
  <si>
    <t>DOC-0167</t>
  </si>
  <si>
    <t>Samir Kfoury</t>
  </si>
  <si>
    <t>Operations Management G4</t>
  </si>
  <si>
    <t>DOC-0168</t>
  </si>
  <si>
    <t>Sara Patel</t>
  </si>
  <si>
    <t>DOC-0169</t>
  </si>
  <si>
    <t>Aisha Davis</t>
  </si>
  <si>
    <t>DOC-0170</t>
  </si>
  <si>
    <t>DOC-0171</t>
  </si>
  <si>
    <t>Nour Rahman</t>
  </si>
  <si>
    <t>DOC-0172</t>
  </si>
  <si>
    <t>DOC-0173</t>
  </si>
  <si>
    <t>Omar Farah</t>
  </si>
  <si>
    <t>DOC-0174</t>
  </si>
  <si>
    <t>Mark Smith</t>
  </si>
  <si>
    <t>DOC-0175</t>
  </si>
  <si>
    <t>Lea Boulos</t>
  </si>
  <si>
    <t>Call Centre G3</t>
  </si>
  <si>
    <t>DOC-0176</t>
  </si>
  <si>
    <t>Rami Farah</t>
  </si>
  <si>
    <t>F&amp;B G4</t>
  </si>
  <si>
    <t>DOC-0177</t>
  </si>
  <si>
    <t>Daniel Ibrahim</t>
  </si>
  <si>
    <t>DOC-0178</t>
  </si>
  <si>
    <t>Lea Nair</t>
  </si>
  <si>
    <t>DOC-0179</t>
  </si>
  <si>
    <t>Concierge G1</t>
  </si>
  <si>
    <t>DOC-0180</t>
  </si>
  <si>
    <t>Lina Patel</t>
  </si>
  <si>
    <t>DOC-0181</t>
  </si>
  <si>
    <t>Omar Hassan</t>
  </si>
  <si>
    <t>Logistics G2</t>
  </si>
  <si>
    <t>DOC-0182</t>
  </si>
  <si>
    <t>DOC-0183</t>
  </si>
  <si>
    <t>Grace Kfoury</t>
  </si>
  <si>
    <t>DOC-0184</t>
  </si>
  <si>
    <t>Procurement G1</t>
  </si>
  <si>
    <t>DOC-0185</t>
  </si>
  <si>
    <t>Hana Youssef</t>
  </si>
  <si>
    <t>DOC-0186</t>
  </si>
  <si>
    <t>Security Operations G3</t>
  </si>
  <si>
    <t>DOC-0187</t>
  </si>
  <si>
    <t>Daniel Smith</t>
  </si>
  <si>
    <t>DOC-0188</t>
  </si>
  <si>
    <t>Infrastructure</t>
  </si>
  <si>
    <t>Infrastructure G5</t>
  </si>
  <si>
    <t>DOC-0189</t>
  </si>
  <si>
    <t>Call Centre G1</t>
  </si>
  <si>
    <t>DOC-0190</t>
  </si>
  <si>
    <t>Engineering G1</t>
  </si>
  <si>
    <t>DOC-0191</t>
  </si>
  <si>
    <t>Grace Patel</t>
  </si>
  <si>
    <t>DOC-0192</t>
  </si>
  <si>
    <t>Sara Santos</t>
  </si>
  <si>
    <t>DOC-0193</t>
  </si>
  <si>
    <t>Logistics M1</t>
  </si>
  <si>
    <t>DOC-0194</t>
  </si>
  <si>
    <t>Priya Santos</t>
  </si>
  <si>
    <t>DOC-0195</t>
  </si>
  <si>
    <t>Daniel Hassan</t>
  </si>
  <si>
    <t>DOC-0196</t>
  </si>
  <si>
    <t>Maya Kfoury</t>
  </si>
  <si>
    <t>DOC-0197</t>
  </si>
  <si>
    <t>Lea Patel</t>
  </si>
  <si>
    <t>DOC-0198</t>
  </si>
  <si>
    <t>Rami Mansour</t>
  </si>
  <si>
    <t>DOC-0199</t>
  </si>
  <si>
    <t>DOC-0200</t>
  </si>
  <si>
    <t>DOC-0201</t>
  </si>
  <si>
    <t>Mina Hassan</t>
  </si>
  <si>
    <t>HR Operations G2</t>
  </si>
  <si>
    <t>DOC-0202</t>
  </si>
  <si>
    <t>Quality G3</t>
  </si>
  <si>
    <t>DOC-0203</t>
  </si>
  <si>
    <t>DOC-0204</t>
  </si>
  <si>
    <t>Visual Merchandising M1</t>
  </si>
  <si>
    <t>DOC-0205</t>
  </si>
  <si>
    <t>DOC-0206</t>
  </si>
  <si>
    <t>Karim Singh</t>
  </si>
  <si>
    <t>Support G3</t>
  </si>
  <si>
    <t>DOC-0207</t>
  </si>
  <si>
    <t>DOC-0208</t>
  </si>
  <si>
    <t>Grace Mansour</t>
  </si>
  <si>
    <t>Cybersecurity M1</t>
  </si>
  <si>
    <t>DOC-0209</t>
  </si>
  <si>
    <t>DOC-0210</t>
  </si>
  <si>
    <t>Maya Garcia</t>
  </si>
  <si>
    <t>Housekeeping M2</t>
  </si>
  <si>
    <t>DOC-0211</t>
  </si>
  <si>
    <t>Aisha Haddad</t>
  </si>
  <si>
    <t>Housekeeping G4</t>
  </si>
  <si>
    <t>DOC-0212</t>
  </si>
  <si>
    <t>Noor Smith</t>
  </si>
  <si>
    <t>DOC-0213</t>
  </si>
  <si>
    <t>Khaled Haddad</t>
  </si>
  <si>
    <t>DOC-0214</t>
  </si>
  <si>
    <t>Mark Boulos</t>
  </si>
  <si>
    <t>DOC-0215</t>
  </si>
  <si>
    <t>DOC-0216</t>
  </si>
  <si>
    <t>DOC-0217</t>
  </si>
  <si>
    <t>DOC-0218</t>
  </si>
  <si>
    <t>DOC-0219</t>
  </si>
  <si>
    <t>Khaled Davis</t>
  </si>
  <si>
    <t>DOC-0220</t>
  </si>
  <si>
    <t>Employee Relations M1</t>
  </si>
  <si>
    <t>DOC-0221</t>
  </si>
  <si>
    <t>Karim Davis</t>
  </si>
  <si>
    <t>DOC-0222</t>
  </si>
  <si>
    <t>L&amp;D G4</t>
  </si>
  <si>
    <t>DOC-0223</t>
  </si>
  <si>
    <t>Nour Ali</t>
  </si>
  <si>
    <t>DOC-0224</t>
  </si>
  <si>
    <t>Daniel Singh</t>
  </si>
  <si>
    <t>DOC-0225</t>
  </si>
  <si>
    <t>Hana Smith</t>
  </si>
  <si>
    <t>DOC-0226</t>
  </si>
  <si>
    <t>Daniel Santos</t>
  </si>
  <si>
    <t>DOC-0227</t>
  </si>
  <si>
    <t>Lina Smith</t>
  </si>
  <si>
    <t>DOC-0228</t>
  </si>
  <si>
    <t>Noor Kfoury</t>
  </si>
  <si>
    <t>DOC-0229</t>
  </si>
  <si>
    <t>Samir Davis</t>
  </si>
  <si>
    <t>Cybersecurity G1</t>
  </si>
  <si>
    <t>DOC-0230</t>
  </si>
  <si>
    <t>Mark Hassan</t>
  </si>
  <si>
    <t>Store Management G2</t>
  </si>
  <si>
    <t>DOC-0231</t>
  </si>
  <si>
    <t>DOC-0232</t>
  </si>
  <si>
    <t>Housekeeping G5</t>
  </si>
  <si>
    <t>DOC-0233</t>
  </si>
  <si>
    <t>DOC-0234</t>
  </si>
  <si>
    <t>Ahmed Haddad</t>
  </si>
  <si>
    <t>Control Room G2</t>
  </si>
  <si>
    <t>DOC-0235</t>
  </si>
  <si>
    <t>Grace Haddad</t>
  </si>
  <si>
    <t>DOC-0236</t>
  </si>
  <si>
    <t>Mark Singh</t>
  </si>
  <si>
    <t>DOC-0237</t>
  </si>
  <si>
    <t>DOC-0238</t>
  </si>
  <si>
    <t>DOC-0239</t>
  </si>
  <si>
    <t>Karim Ibrahim</t>
  </si>
  <si>
    <t>Cybersecurity G3</t>
  </si>
  <si>
    <t>DOC-0240</t>
  </si>
  <si>
    <t>DOC-0241</t>
  </si>
  <si>
    <t>VIP Services G5</t>
  </si>
  <si>
    <t>DOC-0242</t>
  </si>
  <si>
    <t>DOC-0243</t>
  </si>
  <si>
    <t>Mina Ibrahim</t>
  </si>
  <si>
    <t>HSE G4</t>
  </si>
  <si>
    <t>DOC-0244</t>
  </si>
  <si>
    <t>Khaled Hassan</t>
  </si>
  <si>
    <t>Recruitment G5</t>
  </si>
  <si>
    <t>DOC-0245</t>
  </si>
  <si>
    <t>Inventory D1</t>
  </si>
  <si>
    <t>DOC-0246</t>
  </si>
  <si>
    <t>Grace Khan</t>
  </si>
  <si>
    <t>DOC-0247</t>
  </si>
  <si>
    <t>Karim Rahman</t>
  </si>
  <si>
    <t>DOC-0248</t>
  </si>
  <si>
    <t>Maya Ibrahim</t>
  </si>
  <si>
    <t>DOC-0249</t>
  </si>
  <si>
    <t>Khaled Garcia</t>
  </si>
  <si>
    <t>DOC-0250</t>
  </si>
  <si>
    <t>Daniel Garcia</t>
  </si>
  <si>
    <t>DOC-0251</t>
  </si>
  <si>
    <t>DOC-0252</t>
  </si>
  <si>
    <t>Lea Khan</t>
  </si>
  <si>
    <t>Maintenance M2</t>
  </si>
  <si>
    <t>DOC-0253</t>
  </si>
  <si>
    <t>Planning G2</t>
  </si>
  <si>
    <t>DOC-0254</t>
  </si>
  <si>
    <t>Yousef Santos</t>
  </si>
  <si>
    <t>DOC-0255</t>
  </si>
  <si>
    <t>DOC-0256</t>
  </si>
  <si>
    <t>DOC-0257</t>
  </si>
  <si>
    <t>HR Operations G4</t>
  </si>
  <si>
    <t>DOC-0258</t>
  </si>
  <si>
    <t>Maya Santos</t>
  </si>
  <si>
    <t>DOC-0259</t>
  </si>
  <si>
    <t>Lea Singh</t>
  </si>
  <si>
    <t>Customer Care G4</t>
  </si>
  <si>
    <t>DOC-0260</t>
  </si>
  <si>
    <t>Priya Thomas</t>
  </si>
  <si>
    <t>DOC-0261</t>
  </si>
  <si>
    <t>Customer Care M2</t>
  </si>
  <si>
    <t>DOC-0262</t>
  </si>
  <si>
    <t>DOC-0263</t>
  </si>
  <si>
    <t>Quality G2</t>
  </si>
  <si>
    <t>DOC-0264</t>
  </si>
  <si>
    <t>DOC-0265</t>
  </si>
  <si>
    <t>Aisha Smith</t>
  </si>
  <si>
    <t>DOC-0266</t>
  </si>
  <si>
    <t>Mark Youssef</t>
  </si>
  <si>
    <t>Maintenance G5</t>
  </si>
  <si>
    <t>DOC-0267</t>
  </si>
  <si>
    <t>DOC-0268</t>
  </si>
  <si>
    <t>Nour Haddad</t>
  </si>
  <si>
    <t>DOC-0269</t>
  </si>
  <si>
    <t>Daniel Patel</t>
  </si>
  <si>
    <t>DOC-0270</t>
  </si>
  <si>
    <t>HSE G5</t>
  </si>
  <si>
    <t>DOC-0271</t>
  </si>
  <si>
    <t>DOC-0272</t>
  </si>
  <si>
    <t>Grace Ali</t>
  </si>
  <si>
    <t>DOC-0273</t>
  </si>
  <si>
    <t>Daniel Farah</t>
  </si>
  <si>
    <t>Planning M2</t>
  </si>
  <si>
    <t>DOC-0274</t>
  </si>
  <si>
    <t>DOC-0275</t>
  </si>
  <si>
    <t>Karim Santos</t>
  </si>
  <si>
    <t>DOC-0276</t>
  </si>
  <si>
    <t>Digital Marketing M2</t>
  </si>
  <si>
    <t>DOC-0277</t>
  </si>
  <si>
    <t>DOC-0278</t>
  </si>
  <si>
    <t>Noor Khan</t>
  </si>
  <si>
    <t>Support G5</t>
  </si>
  <si>
    <t>DOC-0279</t>
  </si>
  <si>
    <t>DOC-0280</t>
  </si>
  <si>
    <t>Sara Khan</t>
  </si>
  <si>
    <t>HR Operations G1</t>
  </si>
  <si>
    <t>DOC-0281</t>
  </si>
  <si>
    <t>DOC-0282</t>
  </si>
  <si>
    <t>Ahmed Ali</t>
  </si>
  <si>
    <t>DOC-0283</t>
  </si>
  <si>
    <t>Sara Haddad</t>
  </si>
  <si>
    <t>DOC-0284</t>
  </si>
  <si>
    <t>Complaints G5</t>
  </si>
  <si>
    <t>DOC-0285</t>
  </si>
  <si>
    <t>DOC-0286</t>
  </si>
  <si>
    <t>DOC-0287</t>
  </si>
  <si>
    <t>Noor Davis</t>
  </si>
  <si>
    <t>Infrastructure G3</t>
  </si>
  <si>
    <t>DOC-0288</t>
  </si>
  <si>
    <t>Grace Farah</t>
  </si>
  <si>
    <t>DOC-0289</t>
  </si>
  <si>
    <t>VIP Services M1</t>
  </si>
  <si>
    <t>DOC-0290</t>
  </si>
  <si>
    <t>DOC-0291</t>
  </si>
  <si>
    <t>DOC-0292</t>
  </si>
  <si>
    <t>Lina Boulos</t>
  </si>
  <si>
    <t>Store Management M1</t>
  </si>
  <si>
    <t>DOC-0293</t>
  </si>
  <si>
    <t>DOC-0294</t>
  </si>
  <si>
    <t>Sara Garcia</t>
  </si>
  <si>
    <t>DOC-0295</t>
  </si>
  <si>
    <t>DOC-0296</t>
  </si>
  <si>
    <t>DOC-0297</t>
  </si>
  <si>
    <t>Samir Haddad</t>
  </si>
  <si>
    <t>DOC-0298</t>
  </si>
  <si>
    <t>DOC-0299</t>
  </si>
  <si>
    <t>DOC-0300</t>
  </si>
  <si>
    <t>DOC-0301</t>
  </si>
  <si>
    <t>Omar Fernandes</t>
  </si>
  <si>
    <t>DOC-0302</t>
  </si>
  <si>
    <t>Lea Rahman</t>
  </si>
  <si>
    <t>DOC-0303</t>
  </si>
  <si>
    <t>Omar Singh</t>
  </si>
  <si>
    <t>DOC-0304</t>
  </si>
  <si>
    <t>DOC-0305</t>
  </si>
  <si>
    <t>DOC-0306</t>
  </si>
  <si>
    <t>Lina Santos</t>
  </si>
  <si>
    <t>Digital Marketing G2</t>
  </si>
  <si>
    <t>DOC-0307</t>
  </si>
  <si>
    <t>Yousef Youssef</t>
  </si>
  <si>
    <t>Access Control G5</t>
  </si>
  <si>
    <t>DOC-0308</t>
  </si>
  <si>
    <t>Nour Khan</t>
  </si>
  <si>
    <t>DOC-0309</t>
  </si>
  <si>
    <t>DOC-0310</t>
  </si>
  <si>
    <t>Sara Mansour</t>
  </si>
  <si>
    <t>DOC-0311</t>
  </si>
  <si>
    <t>Noor Nair</t>
  </si>
  <si>
    <t>DOC-0312</t>
  </si>
  <si>
    <t>Operations Management M1</t>
  </si>
  <si>
    <t>DOC-0313</t>
  </si>
  <si>
    <t>Infrastructure M2</t>
  </si>
  <si>
    <t>DOC-0314</t>
  </si>
  <si>
    <t>Mina Rahman</t>
  </si>
  <si>
    <t>DOC-0315</t>
  </si>
  <si>
    <t>DOC-0316</t>
  </si>
  <si>
    <t>Karim Mansour</t>
  </si>
  <si>
    <t>DOC-0317</t>
  </si>
  <si>
    <t>Nour Smith</t>
  </si>
  <si>
    <t>DOC-0318</t>
  </si>
  <si>
    <t>DOC-0319</t>
  </si>
  <si>
    <t>Guest Services D1</t>
  </si>
  <si>
    <t>DOC-0320</t>
  </si>
  <si>
    <t>Khaled Ibrahim</t>
  </si>
  <si>
    <t>DOC-0321</t>
  </si>
  <si>
    <t>Samir Smith</t>
  </si>
  <si>
    <t>Content G5</t>
  </si>
  <si>
    <t>DOC-0322</t>
  </si>
  <si>
    <t>Hana Haddad</t>
  </si>
  <si>
    <t>DOC-0323</t>
  </si>
  <si>
    <t>Sara Rahman</t>
  </si>
  <si>
    <t>DOC-0324</t>
  </si>
  <si>
    <t>DOC-0325</t>
  </si>
  <si>
    <t>Mina Boulos</t>
  </si>
  <si>
    <t>DOC-0326</t>
  </si>
  <si>
    <t>Nour Farah</t>
  </si>
  <si>
    <t>DOC-0327</t>
  </si>
  <si>
    <t>Content M1</t>
  </si>
  <si>
    <t>DOC-0328</t>
  </si>
  <si>
    <t>Maya Ali</t>
  </si>
  <si>
    <t>DOC-0329</t>
  </si>
  <si>
    <t>Sara Boulos</t>
  </si>
  <si>
    <t>DOC-0330</t>
  </si>
  <si>
    <t>Samir Hassan</t>
  </si>
  <si>
    <t>DOC-0331</t>
  </si>
  <si>
    <t>DOC-0332</t>
  </si>
  <si>
    <t>DOC-0333</t>
  </si>
  <si>
    <t>DOC-0334</t>
  </si>
  <si>
    <t>Lina Kfoury</t>
  </si>
  <si>
    <t>DOC-0335</t>
  </si>
  <si>
    <t>Mina Khan</t>
  </si>
  <si>
    <t>DOC-0336</t>
  </si>
  <si>
    <t>DOC-0337</t>
  </si>
  <si>
    <t>DOC-0338</t>
  </si>
  <si>
    <t>Store Management G3</t>
  </si>
  <si>
    <t>DOC-0339</t>
  </si>
  <si>
    <t>DOC-0340</t>
  </si>
  <si>
    <t>Grace Fernandes</t>
  </si>
  <si>
    <t>DOC-0341</t>
  </si>
  <si>
    <t>Hana Kfoury</t>
  </si>
  <si>
    <t>DOC-0342</t>
  </si>
  <si>
    <t>Hana Singh</t>
  </si>
  <si>
    <t>Housekeeping M1</t>
  </si>
  <si>
    <t>DOC-0343</t>
  </si>
  <si>
    <t>Rami Hassan</t>
  </si>
  <si>
    <t>Brand G4</t>
  </si>
  <si>
    <t>DOC-0344</t>
  </si>
  <si>
    <t>DOC-0345</t>
  </si>
  <si>
    <t>DOC-0346</t>
  </si>
  <si>
    <t>Ahmed Fernandes</t>
  </si>
  <si>
    <t>DOC-0347</t>
  </si>
  <si>
    <t>DOC-0348</t>
  </si>
  <si>
    <t>Infrastructure G4</t>
  </si>
  <si>
    <t>DOC-0349</t>
  </si>
  <si>
    <t>DOC-0350</t>
  </si>
  <si>
    <t>Nour Patel</t>
  </si>
  <si>
    <t>DOC-0351</t>
  </si>
  <si>
    <t>DOC-0352</t>
  </si>
  <si>
    <t>DOC-0353</t>
  </si>
  <si>
    <t>Daniel Fernandes</t>
  </si>
  <si>
    <t>DOC-0354</t>
  </si>
  <si>
    <t>Lina Haddad</t>
  </si>
  <si>
    <t>DOC-0355</t>
  </si>
  <si>
    <t>Daniel Ali</t>
  </si>
  <si>
    <t>DOC-0356</t>
  </si>
  <si>
    <t>Mina Mansour</t>
  </si>
  <si>
    <t>L&amp;D M1</t>
  </si>
  <si>
    <t>DOC-0357</t>
  </si>
  <si>
    <t>Lina Khan</t>
  </si>
  <si>
    <t>DOC-0358</t>
  </si>
  <si>
    <t>Operations Management G5</t>
  </si>
  <si>
    <t>DOC-0359</t>
  </si>
  <si>
    <t>DOC-0360</t>
  </si>
  <si>
    <t>Planning G1</t>
  </si>
  <si>
    <t>DOC-0361</t>
  </si>
  <si>
    <t>Priya Mansour</t>
  </si>
  <si>
    <t>Inventory M1</t>
  </si>
  <si>
    <t>DOC-0362</t>
  </si>
  <si>
    <t>Mina Fernandes</t>
  </si>
  <si>
    <t>DOC-0363</t>
  </si>
  <si>
    <t>Support G2</t>
  </si>
  <si>
    <t>DOC-0364</t>
  </si>
  <si>
    <t>Content G4</t>
  </si>
  <si>
    <t>DOC-0365</t>
  </si>
  <si>
    <t>DOC-0366</t>
  </si>
  <si>
    <t>DOC-0367</t>
  </si>
  <si>
    <t>Khaled Patel</t>
  </si>
  <si>
    <t>DOC-0368</t>
  </si>
  <si>
    <t>Ahmed Patel</t>
  </si>
  <si>
    <t>Budgeting G3</t>
  </si>
  <si>
    <t>DOC-0369</t>
  </si>
  <si>
    <t>Lea Farah</t>
  </si>
  <si>
    <t>DOC-0370</t>
  </si>
  <si>
    <t>Aisha Garcia</t>
  </si>
  <si>
    <t>DOC-0371</t>
  </si>
  <si>
    <t>Khaled Farah</t>
  </si>
  <si>
    <t>DOC-0372</t>
  </si>
  <si>
    <t>DOC-0373</t>
  </si>
  <si>
    <t>Aisha Youssef</t>
  </si>
  <si>
    <t>DOC-0374</t>
  </si>
  <si>
    <t>Visual Merchandising M2</t>
  </si>
  <si>
    <t>DOC-0375</t>
  </si>
  <si>
    <t>Cleaning D1</t>
  </si>
  <si>
    <t>DOC-0376</t>
  </si>
  <si>
    <t>Ahmed Hassan</t>
  </si>
  <si>
    <t>Call Centre G4</t>
  </si>
  <si>
    <t>DOC-0377</t>
  </si>
  <si>
    <t>Applications G3</t>
  </si>
  <si>
    <t>DOC-0378</t>
  </si>
  <si>
    <t>DOC-0379</t>
  </si>
  <si>
    <t>DOC-0380</t>
  </si>
  <si>
    <t>DOC-0381</t>
  </si>
  <si>
    <t>DOC-0382</t>
  </si>
  <si>
    <t>DOC-0383</t>
  </si>
  <si>
    <t>Samir Rahman</t>
  </si>
  <si>
    <t>DOC-0384</t>
  </si>
  <si>
    <t>DOC-0385</t>
  </si>
  <si>
    <t>Khaled Kfoury</t>
  </si>
  <si>
    <t>Payroll G5</t>
  </si>
  <si>
    <t>DOC-0386</t>
  </si>
  <si>
    <t>Visual Merchandising G5</t>
  </si>
  <si>
    <t>DOC-0387</t>
  </si>
  <si>
    <t>Mark Nair</t>
  </si>
  <si>
    <t>DOC-0388</t>
  </si>
  <si>
    <t>DOC-0389</t>
  </si>
  <si>
    <t>DOC-0390</t>
  </si>
  <si>
    <t>DOC-0391</t>
  </si>
  <si>
    <t>HR Operations M1</t>
  </si>
  <si>
    <t>DOC-0392</t>
  </si>
  <si>
    <t>Khaled Nair</t>
  </si>
  <si>
    <t>DOC-0393</t>
  </si>
  <si>
    <t>DOC-0394</t>
  </si>
  <si>
    <t>Karim Khan</t>
  </si>
  <si>
    <t>DOC-0395</t>
  </si>
  <si>
    <t>Concierge G5</t>
  </si>
  <si>
    <t>DOC-0396</t>
  </si>
  <si>
    <t>Aisha Thomas</t>
  </si>
  <si>
    <t>Accounting G3</t>
  </si>
  <si>
    <t>DOC-0397</t>
  </si>
  <si>
    <t>Procurement D1</t>
  </si>
  <si>
    <t>DOC-0398</t>
  </si>
  <si>
    <t>DOC-0399</t>
  </si>
  <si>
    <t>Yousef Singh</t>
  </si>
  <si>
    <t>DOC-0400</t>
  </si>
  <si>
    <t>DOC-0401</t>
  </si>
  <si>
    <t>DOC-0402</t>
  </si>
  <si>
    <t>Infrastructure G1</t>
  </si>
  <si>
    <t>DOC-0403</t>
  </si>
  <si>
    <t>Digital Marketing G4</t>
  </si>
  <si>
    <t>DOC-0404</t>
  </si>
  <si>
    <t>Events M1</t>
  </si>
  <si>
    <t>DOC-0405</t>
  </si>
  <si>
    <t>DOC-0406</t>
  </si>
  <si>
    <t>Khaled Santos</t>
  </si>
  <si>
    <t>DOC-0407</t>
  </si>
  <si>
    <t>Priya Singh</t>
  </si>
  <si>
    <t>DOC-0408</t>
  </si>
  <si>
    <t>DOC-0409</t>
  </si>
  <si>
    <t>DOC-0410</t>
  </si>
  <si>
    <t>DOC-0411</t>
  </si>
  <si>
    <t>Lea Haddad</t>
  </si>
  <si>
    <t>DOC-0412</t>
  </si>
  <si>
    <t>DOC-0413</t>
  </si>
  <si>
    <t>DOC-0414</t>
  </si>
  <si>
    <t>Inventory M2</t>
  </si>
  <si>
    <t>DOC-0415</t>
  </si>
  <si>
    <t>DOC-0416</t>
  </si>
  <si>
    <t>DOC-0417</t>
  </si>
  <si>
    <t>Mark Khan</t>
  </si>
  <si>
    <t>DOC-0418</t>
  </si>
  <si>
    <t>DOC-0419</t>
  </si>
  <si>
    <t>Ahmed Mansour</t>
  </si>
  <si>
    <t>DOC-0420</t>
  </si>
  <si>
    <t>DOC-0421</t>
  </si>
  <si>
    <t>DOC-0422</t>
  </si>
  <si>
    <t>Visual Merchandising G2</t>
  </si>
  <si>
    <t>DOC-0423</t>
  </si>
  <si>
    <t>DOC-0424</t>
  </si>
  <si>
    <t>DOC-0425</t>
  </si>
  <si>
    <t>DOC-0426</t>
  </si>
  <si>
    <t>Rami Nair</t>
  </si>
  <si>
    <t>DOC-0427</t>
  </si>
  <si>
    <t>Recruitment M2</t>
  </si>
  <si>
    <t>DOC-0428</t>
  </si>
  <si>
    <t>DOC-0429</t>
  </si>
  <si>
    <t>Maya Boulos</t>
  </si>
  <si>
    <t>DOC-0430</t>
  </si>
  <si>
    <t>Lea Smith</t>
  </si>
  <si>
    <t>DOC-0431</t>
  </si>
  <si>
    <t>DOC-0432</t>
  </si>
  <si>
    <t>Karim Haddad</t>
  </si>
  <si>
    <t>L&amp;D G2</t>
  </si>
  <si>
    <t>DOC-0433</t>
  </si>
  <si>
    <t>Rami Haddad</t>
  </si>
  <si>
    <t>Accounting G2</t>
  </si>
  <si>
    <t>DOC-0434</t>
  </si>
  <si>
    <t>DOC-0435</t>
  </si>
  <si>
    <t>DOC-0436</t>
  </si>
  <si>
    <t>Rami Ali</t>
  </si>
  <si>
    <t>DOC-0437</t>
  </si>
  <si>
    <t>Samir Farah</t>
  </si>
  <si>
    <t>Complaints G3</t>
  </si>
  <si>
    <t>DOC-0438</t>
  </si>
  <si>
    <t>Nour Thomas</t>
  </si>
  <si>
    <t>DOC-0439</t>
  </si>
  <si>
    <t>DOC-0440</t>
  </si>
  <si>
    <t>DOC-0441</t>
  </si>
  <si>
    <t>Aisha Singh</t>
  </si>
  <si>
    <t>Cleaning G1</t>
  </si>
  <si>
    <t>DOC-0442</t>
  </si>
  <si>
    <t>DOC-0443</t>
  </si>
  <si>
    <t>DOC-0444</t>
  </si>
  <si>
    <t>DOC-0445</t>
  </si>
  <si>
    <t>Mina Smith</t>
  </si>
  <si>
    <t>Store Management G1</t>
  </si>
  <si>
    <t>DOC-0446</t>
  </si>
  <si>
    <t>Hana Garcia</t>
  </si>
  <si>
    <t>DOC-0447</t>
  </si>
  <si>
    <t>Aisha Nair</t>
  </si>
  <si>
    <t>DOC-0448</t>
  </si>
  <si>
    <t>Daniel Haddad</t>
  </si>
  <si>
    <t>Infrastructure G2</t>
  </si>
  <si>
    <t>DOC-0449</t>
  </si>
  <si>
    <t>DOC-0450</t>
  </si>
  <si>
    <t>DOC-0451</t>
  </si>
  <si>
    <t>Sales M2</t>
  </si>
  <si>
    <t>DOC-0452</t>
  </si>
  <si>
    <t>Mark Rahman</t>
  </si>
  <si>
    <t>DOC-0453</t>
  </si>
  <si>
    <t>DOC-0454</t>
  </si>
  <si>
    <t>Nour Boulos</t>
  </si>
  <si>
    <t>DOC-0455</t>
  </si>
  <si>
    <t>Noor Garcia</t>
  </si>
  <si>
    <t>DOC-0456</t>
  </si>
  <si>
    <t>Logistics M2</t>
  </si>
  <si>
    <t>DOC-0457</t>
  </si>
  <si>
    <t>Lea Fernandes</t>
  </si>
  <si>
    <t>Quality G4</t>
  </si>
  <si>
    <t>DOC-0458</t>
  </si>
  <si>
    <t>DOC-0459</t>
  </si>
  <si>
    <t>DOC-0460</t>
  </si>
  <si>
    <t>DOC-0461</t>
  </si>
  <si>
    <t>DOC-0462</t>
  </si>
  <si>
    <t>Grace Garcia</t>
  </si>
  <si>
    <t>DOC-0463</t>
  </si>
  <si>
    <t>DOC-0464</t>
  </si>
  <si>
    <t>DOC-0465</t>
  </si>
  <si>
    <t>Mina Singh</t>
  </si>
  <si>
    <t>DOC-0466</t>
  </si>
  <si>
    <t>DOC-0467</t>
  </si>
  <si>
    <t>DOC-0468</t>
  </si>
  <si>
    <t>DOC-0469</t>
  </si>
  <si>
    <t>DOC-0470</t>
  </si>
  <si>
    <t>DOC-0471</t>
  </si>
  <si>
    <t>DOC-0472</t>
  </si>
  <si>
    <t>DOC-0473</t>
  </si>
  <si>
    <t>DOC-0474</t>
  </si>
  <si>
    <t>Content G2</t>
  </si>
  <si>
    <t>DOC-0475</t>
  </si>
  <si>
    <t>DOC-0476</t>
  </si>
  <si>
    <t>DOC-0477</t>
  </si>
  <si>
    <t>DOC-0478</t>
  </si>
  <si>
    <t>DOC-0479</t>
  </si>
  <si>
    <t>Ahmed Singh</t>
  </si>
  <si>
    <t>DOC-0480</t>
  </si>
  <si>
    <t>Recruitment M1</t>
  </si>
  <si>
    <t>DOC-0481</t>
  </si>
  <si>
    <t>DOC-0482</t>
  </si>
  <si>
    <t>DOC-0483</t>
  </si>
  <si>
    <t>DOC-0484</t>
  </si>
  <si>
    <t>DOC-0485</t>
  </si>
  <si>
    <t>DOC-0486</t>
  </si>
  <si>
    <t>Mark Ali</t>
  </si>
  <si>
    <t>Call Centre D1</t>
  </si>
  <si>
    <t>DOC-0487</t>
  </si>
  <si>
    <t>L&amp;D G5</t>
  </si>
  <si>
    <t>DOC-0488</t>
  </si>
  <si>
    <t>DOC-0489</t>
  </si>
  <si>
    <t>Priya Smith</t>
  </si>
  <si>
    <t>DOC-0490</t>
  </si>
  <si>
    <t>Rami Patel</t>
  </si>
  <si>
    <t>DOC-0491</t>
  </si>
  <si>
    <t>Support M1</t>
  </si>
  <si>
    <t>DOC-0492</t>
  </si>
  <si>
    <t>DOC-0493</t>
  </si>
  <si>
    <t>HSE G1</t>
  </si>
  <si>
    <t>DOC-0494</t>
  </si>
  <si>
    <t>Samir Mansour</t>
  </si>
  <si>
    <t>DOC-0495</t>
  </si>
  <si>
    <t>DOC-0496</t>
  </si>
  <si>
    <t>Digital Marketing M1</t>
  </si>
  <si>
    <t>DOC-0497</t>
  </si>
  <si>
    <t>Rami Boulos</t>
  </si>
  <si>
    <t>DOC-0498</t>
  </si>
  <si>
    <t>DOC-0499</t>
  </si>
  <si>
    <t>DOC-0500</t>
  </si>
  <si>
    <t>DOC-0501</t>
  </si>
  <si>
    <t>Samir Thomas</t>
  </si>
  <si>
    <t>DOC-0502</t>
  </si>
  <si>
    <t>DOC-0503</t>
  </si>
  <si>
    <t>DOC-0504</t>
  </si>
  <si>
    <t>Hana Davis</t>
  </si>
  <si>
    <t>DOC-0505</t>
  </si>
  <si>
    <t>DOC-0506</t>
  </si>
  <si>
    <t>DOC-0507</t>
  </si>
  <si>
    <t>DOC-0508</t>
  </si>
  <si>
    <t>DOC-0509</t>
  </si>
  <si>
    <t>Noor Haddad</t>
  </si>
  <si>
    <t>DOC-0510</t>
  </si>
  <si>
    <t>DOC-0511</t>
  </si>
  <si>
    <t>DOC-0512</t>
  </si>
  <si>
    <t>Aisha Ali</t>
  </si>
  <si>
    <t>DOC-0513</t>
  </si>
  <si>
    <t>DOC-0514</t>
  </si>
  <si>
    <t>DOC-0515</t>
  </si>
  <si>
    <t>DOC-0516</t>
  </si>
  <si>
    <t>DOC-0517</t>
  </si>
  <si>
    <t>DOC-0518</t>
  </si>
  <si>
    <t>Lina Nair</t>
  </si>
  <si>
    <t>DOC-0519</t>
  </si>
  <si>
    <t>Engineering G2</t>
  </si>
  <si>
    <t>DOC-0520</t>
  </si>
  <si>
    <t>Daniel Thomas</t>
  </si>
  <si>
    <t>DOC-0521</t>
  </si>
  <si>
    <t>DOC-0522</t>
  </si>
  <si>
    <t>Mina Ali</t>
  </si>
  <si>
    <t>DOC-0523</t>
  </si>
  <si>
    <t>DOC-0524</t>
  </si>
  <si>
    <t>Events G4</t>
  </si>
  <si>
    <t>DOC-0525</t>
  </si>
  <si>
    <t>DOC-0526</t>
  </si>
  <si>
    <t>Yousef Rahman</t>
  </si>
  <si>
    <t>DOC-0527</t>
  </si>
  <si>
    <t>DOC-0528</t>
  </si>
  <si>
    <t>DOC-0529</t>
  </si>
  <si>
    <t>DOC-0530</t>
  </si>
  <si>
    <t>Omar Boulos</t>
  </si>
  <si>
    <t>Concierge M2</t>
  </si>
  <si>
    <t>DOC-0531</t>
  </si>
  <si>
    <t>Daniel Khan</t>
  </si>
  <si>
    <t>DOC-0532</t>
  </si>
  <si>
    <t>Noor Ibrahim</t>
  </si>
  <si>
    <t>DOC-0533</t>
  </si>
  <si>
    <t>DOC-0534</t>
  </si>
  <si>
    <t>DOC-0535</t>
  </si>
  <si>
    <t>DOC-0536</t>
  </si>
  <si>
    <t>DOC-0537</t>
  </si>
  <si>
    <t>DOC-0538</t>
  </si>
  <si>
    <t>Inventory G1</t>
  </si>
  <si>
    <t>DOC-0539</t>
  </si>
  <si>
    <t>DOC-0540</t>
  </si>
  <si>
    <t>Rami Thomas</t>
  </si>
  <si>
    <t>DOC-0541</t>
  </si>
  <si>
    <t>DOC-0542</t>
  </si>
  <si>
    <t>DOC-0543</t>
  </si>
  <si>
    <t>DOC-0544</t>
  </si>
  <si>
    <t>DOC-0545</t>
  </si>
  <si>
    <t>DOC-0546</t>
  </si>
  <si>
    <t>Ahmed Thomas</t>
  </si>
  <si>
    <t>DOC-0547</t>
  </si>
  <si>
    <t>DOC-0548</t>
  </si>
  <si>
    <t>DOC-0549</t>
  </si>
  <si>
    <t>DOC-0550</t>
  </si>
  <si>
    <t>DOC-0551</t>
  </si>
  <si>
    <t>Daniel Nair</t>
  </si>
  <si>
    <t>DOC-0552</t>
  </si>
  <si>
    <t>DOC-0553</t>
  </si>
  <si>
    <t>DOC-0554</t>
  </si>
  <si>
    <t>DOC-0555</t>
  </si>
  <si>
    <t>DOC-0556</t>
  </si>
  <si>
    <t>Sales M1</t>
  </si>
  <si>
    <t>DOC-0557</t>
  </si>
  <si>
    <t>DOC-0558</t>
  </si>
  <si>
    <t>DOC-0559</t>
  </si>
  <si>
    <t>DOC-0560</t>
  </si>
  <si>
    <t>Karim Ali</t>
  </si>
  <si>
    <t>Access Control M1</t>
  </si>
  <si>
    <t>DOC-0561</t>
  </si>
  <si>
    <t>DOC-0562</t>
  </si>
  <si>
    <t>DOC-0563</t>
  </si>
  <si>
    <t>DOC-0564</t>
  </si>
  <si>
    <t>DOC-0565</t>
  </si>
  <si>
    <t>Budgeting G4</t>
  </si>
  <si>
    <t>DOC-0566</t>
  </si>
  <si>
    <t>DOC-0567</t>
  </si>
  <si>
    <t>Aisha Mansour</t>
  </si>
  <si>
    <t>DOC-0568</t>
  </si>
  <si>
    <t>F&amp;B M2</t>
  </si>
  <si>
    <t>DOC-0569</t>
  </si>
  <si>
    <t>Noor Youssef</t>
  </si>
  <si>
    <t>DOC-0570</t>
  </si>
  <si>
    <t>DOC-0571</t>
  </si>
  <si>
    <t>DOC-0572</t>
  </si>
  <si>
    <t>DOC-0573</t>
  </si>
  <si>
    <t>Call Centre G2</t>
  </si>
  <si>
    <t>DOC-0574</t>
  </si>
  <si>
    <t>DOC-0575</t>
  </si>
  <si>
    <t>DOC-0576</t>
  </si>
  <si>
    <t>DOC-0577</t>
  </si>
  <si>
    <t>Ahmed Smith</t>
  </si>
  <si>
    <t>DOC-0578</t>
  </si>
  <si>
    <t>DOC-0579</t>
  </si>
  <si>
    <t>Ahmed Boulos</t>
  </si>
  <si>
    <t>DOC-0580</t>
  </si>
  <si>
    <t>Noor Patel</t>
  </si>
  <si>
    <t>DOC-0581</t>
  </si>
  <si>
    <t>Infrastructure D1</t>
  </si>
  <si>
    <t>DOC-0582</t>
  </si>
  <si>
    <t>Samir Ibrahim</t>
  </si>
  <si>
    <t>DOC-0583</t>
  </si>
  <si>
    <t>DOC-0584</t>
  </si>
  <si>
    <t>Lina Thomas</t>
  </si>
  <si>
    <t>Procurement G2</t>
  </si>
  <si>
    <t>DOC-0585</t>
  </si>
  <si>
    <t>DOC-0586</t>
  </si>
  <si>
    <t>DOC-0587</t>
  </si>
  <si>
    <t>DOC-0588</t>
  </si>
  <si>
    <t>Budgeting G5</t>
  </si>
  <si>
    <t>DOC-0589</t>
  </si>
  <si>
    <t>Visual Merchandising G1</t>
  </si>
  <si>
    <t>DOC-0590</t>
  </si>
  <si>
    <t>DOC-0591</t>
  </si>
  <si>
    <t>DOC-0592</t>
  </si>
  <si>
    <t>Logistics D1</t>
  </si>
  <si>
    <t>DOC-0593</t>
  </si>
  <si>
    <t>DOC-0594</t>
  </si>
  <si>
    <t>DOC-0595</t>
  </si>
  <si>
    <t>DOC-0596</t>
  </si>
  <si>
    <t>DOC-0597</t>
  </si>
  <si>
    <t>Noor Hassan</t>
  </si>
  <si>
    <t>DOC-0598</t>
  </si>
  <si>
    <t>DOC-0599</t>
  </si>
  <si>
    <t>DOC-0600</t>
  </si>
  <si>
    <t>Yousef Khan</t>
  </si>
  <si>
    <t>Digital Marketing G1</t>
  </si>
  <si>
    <t>DOC-0601</t>
  </si>
  <si>
    <t>DOC-0602</t>
  </si>
  <si>
    <t>Noor Santos</t>
  </si>
  <si>
    <t>DOC-0603</t>
  </si>
  <si>
    <t>DOC-0604</t>
  </si>
  <si>
    <t>DOC-0605</t>
  </si>
  <si>
    <t>DOC-0606</t>
  </si>
  <si>
    <t>Samir Patel</t>
  </si>
  <si>
    <t>DOC-0607</t>
  </si>
  <si>
    <t>Grace Ibrahim</t>
  </si>
  <si>
    <t>DOC-0608</t>
  </si>
  <si>
    <t>Samir Youssef</t>
  </si>
  <si>
    <t>DOC-0609</t>
  </si>
  <si>
    <t>DOC-0610</t>
  </si>
  <si>
    <t>DOC-0611</t>
  </si>
  <si>
    <t>DOC-0612</t>
  </si>
  <si>
    <t>DOC-0613</t>
  </si>
  <si>
    <t>DOC-0614</t>
  </si>
  <si>
    <t>DOC-0615</t>
  </si>
  <si>
    <t>DOC-0616</t>
  </si>
  <si>
    <t>DOC-0617</t>
  </si>
  <si>
    <t>Maya Khan</t>
  </si>
  <si>
    <t>DOC-0618</t>
  </si>
  <si>
    <t>DOC-0619</t>
  </si>
  <si>
    <t>DOC-0620</t>
  </si>
  <si>
    <t>DOC-0621</t>
  </si>
  <si>
    <t>Rami Singh</t>
  </si>
  <si>
    <t>DOC-0622</t>
  </si>
  <si>
    <t>DOC-0623</t>
  </si>
  <si>
    <t>Control Room D1</t>
  </si>
  <si>
    <t>DOC-0624</t>
  </si>
  <si>
    <t>DOC-0625</t>
  </si>
  <si>
    <t>F&amp;B M1</t>
  </si>
  <si>
    <t>DOC-0626</t>
  </si>
  <si>
    <t>DOC-0627</t>
  </si>
  <si>
    <t>Brand M1</t>
  </si>
  <si>
    <t>DOC-0628</t>
  </si>
  <si>
    <t>DOC-0629</t>
  </si>
  <si>
    <t>DOC-0630</t>
  </si>
  <si>
    <t>DOC-0631</t>
  </si>
  <si>
    <t>Housekeeping D1</t>
  </si>
  <si>
    <t>DOC-0632</t>
  </si>
  <si>
    <t>DOC-0633</t>
  </si>
  <si>
    <t>DOC-0634</t>
  </si>
  <si>
    <t>DOC-0635</t>
  </si>
  <si>
    <t>Nour Mansour</t>
  </si>
  <si>
    <t>DOC-0636</t>
  </si>
  <si>
    <t>Mark Davis</t>
  </si>
  <si>
    <t>DOC-0637</t>
  </si>
  <si>
    <t>Quality M2</t>
  </si>
  <si>
    <t>DOC-0638</t>
  </si>
  <si>
    <t>DOC-0639</t>
  </si>
  <si>
    <t>DOC-0640</t>
  </si>
  <si>
    <t>Daniel Davis</t>
  </si>
  <si>
    <t>HSE D1</t>
  </si>
  <si>
    <t>DOC-0641</t>
  </si>
  <si>
    <t>Customer Care D1</t>
  </si>
  <si>
    <t>DOC-0642</t>
  </si>
  <si>
    <t>Payroll M1</t>
  </si>
  <si>
    <t>DOC-0643</t>
  </si>
  <si>
    <t>Priya Ali</t>
  </si>
  <si>
    <t>DOC-0644</t>
  </si>
  <si>
    <t>DOC-0645</t>
  </si>
  <si>
    <t>DOC-0646</t>
  </si>
  <si>
    <t>Access Control M2</t>
  </si>
  <si>
    <t>DOC-0647</t>
  </si>
  <si>
    <t>DOC-0648</t>
  </si>
  <si>
    <t>DOC-0649</t>
  </si>
  <si>
    <t>Mark Patel</t>
  </si>
  <si>
    <t>DOC-0650</t>
  </si>
  <si>
    <t>DOC-0651</t>
  </si>
  <si>
    <t>DOC-0652</t>
  </si>
  <si>
    <t>DOC-0653</t>
  </si>
  <si>
    <t>Nour Singh</t>
  </si>
  <si>
    <t>DOC-0654</t>
  </si>
  <si>
    <t>DOC-0655</t>
  </si>
  <si>
    <t>Omar Kfoury</t>
  </si>
  <si>
    <t>DOC-0656</t>
  </si>
  <si>
    <t>DOC-0657</t>
  </si>
  <si>
    <t>DOC-0658</t>
  </si>
  <si>
    <t>DOC-0659</t>
  </si>
  <si>
    <t>DOC-0660</t>
  </si>
  <si>
    <t>DOC-0661</t>
  </si>
  <si>
    <t>DOC-0662</t>
  </si>
  <si>
    <t>DOC-0663</t>
  </si>
  <si>
    <t>DOC-0664</t>
  </si>
  <si>
    <t>DOC-0665</t>
  </si>
  <si>
    <t>DOC-0666</t>
  </si>
  <si>
    <t>DOC-0667</t>
  </si>
  <si>
    <t>Grace Boulos</t>
  </si>
  <si>
    <t>DOC-0668</t>
  </si>
  <si>
    <t>DOC-0669</t>
  </si>
  <si>
    <t>DOC-0670</t>
  </si>
  <si>
    <t>Brand G2</t>
  </si>
  <si>
    <t>DOC-0671</t>
  </si>
  <si>
    <t>Khaled Fernandes</t>
  </si>
  <si>
    <t>DOC-0672</t>
  </si>
  <si>
    <t>DOC-0673</t>
  </si>
  <si>
    <t>DOC-0674</t>
  </si>
  <si>
    <t>DOC-0675</t>
  </si>
  <si>
    <t>DOC-0676</t>
  </si>
  <si>
    <t>DOC-0677</t>
  </si>
  <si>
    <t>DOC-0678</t>
  </si>
  <si>
    <t>Noor Fernandes</t>
  </si>
  <si>
    <t>DOC-0679</t>
  </si>
  <si>
    <t>Maya Patel</t>
  </si>
  <si>
    <t>DOC-0680</t>
  </si>
  <si>
    <t>DOC-0681</t>
  </si>
  <si>
    <t>DOC-0682</t>
  </si>
  <si>
    <t>DOC-0683</t>
  </si>
  <si>
    <t>DOC-0684</t>
  </si>
  <si>
    <t>Grace Hassan</t>
  </si>
  <si>
    <t>DOC-0685</t>
  </si>
  <si>
    <t>DOC-0686</t>
  </si>
  <si>
    <t>DOC-0687</t>
  </si>
  <si>
    <t>DOC-0688</t>
  </si>
  <si>
    <t>DOC-0689</t>
  </si>
  <si>
    <t>Engineering M1</t>
  </si>
  <si>
    <t>DOC-0690</t>
  </si>
  <si>
    <t>DOC-0691</t>
  </si>
  <si>
    <t>DOC-0692</t>
  </si>
  <si>
    <t>DOC-0693</t>
  </si>
  <si>
    <t>DOC-0694</t>
  </si>
  <si>
    <t>Ahmed Khan</t>
  </si>
  <si>
    <t>DOC-0695</t>
  </si>
  <si>
    <t>DOC-0696</t>
  </si>
  <si>
    <t>DOC-0697</t>
  </si>
  <si>
    <t>Maya Smith</t>
  </si>
  <si>
    <t>DOC-0698</t>
  </si>
  <si>
    <t>DOC-0699</t>
  </si>
  <si>
    <t>DOC-0700</t>
  </si>
  <si>
    <t>DOC-0701</t>
  </si>
  <si>
    <t>DOC-0702</t>
  </si>
  <si>
    <t>Omar Davis</t>
  </si>
  <si>
    <t>DOC-0703</t>
  </si>
  <si>
    <t>DOC-0704</t>
  </si>
  <si>
    <t>DOC-0705</t>
  </si>
  <si>
    <t>DOC-0706</t>
  </si>
  <si>
    <t>DOC-0707</t>
  </si>
  <si>
    <t>Infrastructure M1</t>
  </si>
  <si>
    <t>DOC-0708</t>
  </si>
  <si>
    <t>DOC-0709</t>
  </si>
  <si>
    <t>DOC-0710</t>
  </si>
  <si>
    <t>DOC-0711</t>
  </si>
  <si>
    <t>DOC-0712</t>
  </si>
  <si>
    <t>DOC-0713</t>
  </si>
  <si>
    <t>DOC-0714</t>
  </si>
  <si>
    <t>DOC-0715</t>
  </si>
  <si>
    <t>DOC-0716</t>
  </si>
  <si>
    <t>DOC-0717</t>
  </si>
  <si>
    <t>Sara Smith</t>
  </si>
  <si>
    <t>DOC-0718</t>
  </si>
  <si>
    <t>DOC-0719</t>
  </si>
  <si>
    <t>DOC-0720</t>
  </si>
  <si>
    <t>Lina Youssef</t>
  </si>
  <si>
    <t>DOC-0721</t>
  </si>
  <si>
    <t>DOC-0722</t>
  </si>
  <si>
    <t>DOC-0723</t>
  </si>
  <si>
    <t>Yousef Fernandes</t>
  </si>
  <si>
    <t>DOC-0724</t>
  </si>
  <si>
    <t>DOC-0725</t>
  </si>
  <si>
    <t>DOC-0726</t>
  </si>
  <si>
    <t>DOC-0727</t>
  </si>
  <si>
    <t>DOC-0728</t>
  </si>
  <si>
    <t>DOC-0729</t>
  </si>
  <si>
    <t>DOC-0730</t>
  </si>
  <si>
    <t>Events G1</t>
  </si>
  <si>
    <t>DOC-0731</t>
  </si>
  <si>
    <t>DOC-0732</t>
  </si>
  <si>
    <t>DOC-0733</t>
  </si>
  <si>
    <t>DOC-0734</t>
  </si>
  <si>
    <t>DOC-0735</t>
  </si>
  <si>
    <t>DOC-0736</t>
  </si>
  <si>
    <t>DOC-0737</t>
  </si>
  <si>
    <t>DOC-0738</t>
  </si>
  <si>
    <t>DOC-0739</t>
  </si>
  <si>
    <t>DOC-0740</t>
  </si>
  <si>
    <t>DOC-0741</t>
  </si>
  <si>
    <t>DOC-0742</t>
  </si>
  <si>
    <t>DOC-0743</t>
  </si>
  <si>
    <t>DOC-0744</t>
  </si>
  <si>
    <t>DOC-0745</t>
  </si>
  <si>
    <t>DOC-0746</t>
  </si>
  <si>
    <t>Priya Nair</t>
  </si>
  <si>
    <t>DOC-0747</t>
  </si>
  <si>
    <t>DOC-0748</t>
  </si>
  <si>
    <t>DOC-0749</t>
  </si>
  <si>
    <t>DOC-0750</t>
  </si>
  <si>
    <t>DOC-0751</t>
  </si>
  <si>
    <t>DOC-0752</t>
  </si>
  <si>
    <t>DOC-0753</t>
  </si>
  <si>
    <t>DOC-0754</t>
  </si>
  <si>
    <t>VIP Services M2</t>
  </si>
  <si>
    <t>DOC-0755</t>
  </si>
  <si>
    <t>Priya Youssef</t>
  </si>
  <si>
    <t>DOC-0756</t>
  </si>
  <si>
    <t>DOC-0757</t>
  </si>
  <si>
    <t>DOC-0758</t>
  </si>
  <si>
    <t>DOC-0759</t>
  </si>
  <si>
    <t>DOC-0760</t>
  </si>
  <si>
    <t>DOC-0761</t>
  </si>
  <si>
    <t>DOC-0762</t>
  </si>
  <si>
    <t>DOC-0763</t>
  </si>
  <si>
    <t>DOC-0764</t>
  </si>
  <si>
    <t>Yousef Ali</t>
  </si>
  <si>
    <t>DOC-0765</t>
  </si>
  <si>
    <t>DOC-0766</t>
  </si>
  <si>
    <t>DOC-0767</t>
  </si>
  <si>
    <t>DOC-0768</t>
  </si>
  <si>
    <t>DOC-0769</t>
  </si>
  <si>
    <t>DOC-0770</t>
  </si>
  <si>
    <t>DOC-0771</t>
  </si>
  <si>
    <t>DOC-0772</t>
  </si>
  <si>
    <t>DOC-0773</t>
  </si>
  <si>
    <t>DOC-0774</t>
  </si>
  <si>
    <t>DOC-0775</t>
  </si>
  <si>
    <t>DOC-0776</t>
  </si>
  <si>
    <t>Mina Thomas</t>
  </si>
  <si>
    <t>DOC-0777</t>
  </si>
  <si>
    <t>DOC-0778</t>
  </si>
  <si>
    <t>Sara Kfoury</t>
  </si>
  <si>
    <t>DOC-0779</t>
  </si>
  <si>
    <t>Karim Smith</t>
  </si>
  <si>
    <t>DOC-0780</t>
  </si>
  <si>
    <t>DOC-0781</t>
  </si>
  <si>
    <t>DOC-0782</t>
  </si>
  <si>
    <t>DOC-0783</t>
  </si>
  <si>
    <t>DOC-0784</t>
  </si>
  <si>
    <t>Applications G4</t>
  </si>
  <si>
    <t>DOC-0785</t>
  </si>
  <si>
    <t>DOC-0786</t>
  </si>
  <si>
    <t>Cleaning M1</t>
  </si>
  <si>
    <t>DOC-0787</t>
  </si>
  <si>
    <t>DOC-0788</t>
  </si>
  <si>
    <t>DOC-0789</t>
  </si>
  <si>
    <t>DOC-0790</t>
  </si>
  <si>
    <t>DOC-0791</t>
  </si>
  <si>
    <t>DOC-0792</t>
  </si>
  <si>
    <t>DOC-0793</t>
  </si>
  <si>
    <t>DOC-0794</t>
  </si>
  <si>
    <t>DOC-0795</t>
  </si>
  <si>
    <t>Priya Farah</t>
  </si>
  <si>
    <t>DOC-0796</t>
  </si>
  <si>
    <t>Hana Thomas</t>
  </si>
  <si>
    <t>Employee Relations G1</t>
  </si>
  <si>
    <t>DOC-0797</t>
  </si>
  <si>
    <t>DOC-0798</t>
  </si>
  <si>
    <t>DOC-0799</t>
  </si>
  <si>
    <t>Lina Fernandes</t>
  </si>
  <si>
    <t>DOC-0800</t>
  </si>
  <si>
    <t>DOC-0801</t>
  </si>
  <si>
    <t>Khaled Ali</t>
  </si>
  <si>
    <t>DOC-0802</t>
  </si>
  <si>
    <t>DOC-0803</t>
  </si>
  <si>
    <t>DOC-0804</t>
  </si>
  <si>
    <t>DOC-0805</t>
  </si>
  <si>
    <t>DOC-0806</t>
  </si>
  <si>
    <t>DOC-0807</t>
  </si>
  <si>
    <t>DOC-0808</t>
  </si>
  <si>
    <t>DOC-0809</t>
  </si>
  <si>
    <t>Security Operations M2</t>
  </si>
  <si>
    <t>DOC-0810</t>
  </si>
  <si>
    <t>DOC-0811</t>
  </si>
  <si>
    <t>DOC-0812</t>
  </si>
  <si>
    <t>DOC-0813</t>
  </si>
  <si>
    <t>DOC-0814</t>
  </si>
  <si>
    <t>DOC-0815</t>
  </si>
  <si>
    <t>DOC-0816</t>
  </si>
  <si>
    <t>DOC-0817</t>
  </si>
  <si>
    <t>DOC-0818</t>
  </si>
  <si>
    <t>DOC-0819</t>
  </si>
  <si>
    <t>DOC-0820</t>
  </si>
  <si>
    <t>Applications M1</t>
  </si>
  <si>
    <t>DOC-0821</t>
  </si>
  <si>
    <t>DOC-0822</t>
  </si>
  <si>
    <t>DOC-0823</t>
  </si>
  <si>
    <t>Customer Care G3</t>
  </si>
  <si>
    <t>DOC-0824</t>
  </si>
  <si>
    <t>DOC-0825</t>
  </si>
  <si>
    <t>DOC-0826</t>
  </si>
  <si>
    <t>DOC-0827</t>
  </si>
  <si>
    <t>DOC-0828</t>
  </si>
  <si>
    <t>DOC-0829</t>
  </si>
  <si>
    <t>DOC-0830</t>
  </si>
  <si>
    <t>DOC-0831</t>
  </si>
  <si>
    <t>Mark Ibrahim</t>
  </si>
  <si>
    <t>DOC-0832</t>
  </si>
  <si>
    <t>DOC-0833</t>
  </si>
  <si>
    <t>Employee Relations G3</t>
  </si>
  <si>
    <t>DOC-0834</t>
  </si>
  <si>
    <t>DOC-0835</t>
  </si>
  <si>
    <t>DOC-0836</t>
  </si>
  <si>
    <t>DOC-0837</t>
  </si>
  <si>
    <t>DOC-0838</t>
  </si>
  <si>
    <t>DOC-0839</t>
  </si>
  <si>
    <t>DOC-0840</t>
  </si>
  <si>
    <t>DOC-0841</t>
  </si>
  <si>
    <t>DOC-0842</t>
  </si>
  <si>
    <t>Hana Rahman</t>
  </si>
  <si>
    <t>DOC-0843</t>
  </si>
  <si>
    <t>DOC-0844</t>
  </si>
  <si>
    <t>DOC-0845</t>
  </si>
  <si>
    <t>DOC-0846</t>
  </si>
  <si>
    <t>DOC-0847</t>
  </si>
  <si>
    <t>Procurement G4</t>
  </si>
  <si>
    <t>DOC-0848</t>
  </si>
  <si>
    <t>Rami Ibrahim</t>
  </si>
  <si>
    <t>DOC-0849</t>
  </si>
  <si>
    <t>DOC-0850</t>
  </si>
  <si>
    <t>DOC-0851</t>
  </si>
  <si>
    <t>DOC-0852</t>
  </si>
  <si>
    <t>DOC-0853</t>
  </si>
  <si>
    <t>DOC-0854</t>
  </si>
  <si>
    <t>DOC-0855</t>
  </si>
  <si>
    <t>DOC-0856</t>
  </si>
  <si>
    <t>DOC-0857</t>
  </si>
  <si>
    <t>Sara Nair</t>
  </si>
  <si>
    <t>DOC-0858</t>
  </si>
  <si>
    <t>Aisha Ibrahim</t>
  </si>
  <si>
    <t>DOC-0859</t>
  </si>
  <si>
    <t>DOC-0860</t>
  </si>
  <si>
    <t>Nour Fernandes</t>
  </si>
  <si>
    <t>DOC-0861</t>
  </si>
  <si>
    <t>DOC-0862</t>
  </si>
  <si>
    <t>DOC-0863</t>
  </si>
  <si>
    <t>DOC-0864</t>
  </si>
  <si>
    <t>DOC-0865</t>
  </si>
  <si>
    <t>Sara Youssef</t>
  </si>
  <si>
    <t>DOC-0866</t>
  </si>
  <si>
    <t>Customer Care G5</t>
  </si>
  <si>
    <t>DOC-0867</t>
  </si>
  <si>
    <t>DOC-0868</t>
  </si>
  <si>
    <t>Lina Farah</t>
  </si>
  <si>
    <t>DOC-0869</t>
  </si>
  <si>
    <t>Omar Youssef</t>
  </si>
  <si>
    <t>DOC-0870</t>
  </si>
  <si>
    <t>DOC-0871</t>
  </si>
  <si>
    <t>DOC-0872</t>
  </si>
  <si>
    <t>DOC-0873</t>
  </si>
  <si>
    <t>DOC-0874</t>
  </si>
  <si>
    <t>DOC-0875</t>
  </si>
  <si>
    <t>DOC-0876</t>
  </si>
  <si>
    <t>DOC-0877</t>
  </si>
  <si>
    <t>DOC-0878</t>
  </si>
  <si>
    <t>DOC-0879</t>
  </si>
  <si>
    <t>DOC-0880</t>
  </si>
  <si>
    <t>DOC-0881</t>
  </si>
  <si>
    <t>DOC-0882</t>
  </si>
  <si>
    <t>DOC-0883</t>
  </si>
  <si>
    <t>Maya Hassan</t>
  </si>
  <si>
    <t>DOC-0884</t>
  </si>
  <si>
    <t>DOC-0885</t>
  </si>
  <si>
    <t>DOC-0886</t>
  </si>
  <si>
    <t>DOC-0887</t>
  </si>
  <si>
    <t>DOC-0888</t>
  </si>
  <si>
    <t>DOC-0889</t>
  </si>
  <si>
    <t>DOC-0890</t>
  </si>
  <si>
    <t>DOC-0891</t>
  </si>
  <si>
    <t>DOC-0892</t>
  </si>
  <si>
    <t>DOC-0893</t>
  </si>
  <si>
    <t>DOC-0894</t>
  </si>
  <si>
    <t>DOC-0895</t>
  </si>
  <si>
    <t>DOC-0896</t>
  </si>
  <si>
    <t>DOC-0897</t>
  </si>
  <si>
    <t>Budgeting G2</t>
  </si>
  <si>
    <t>DOC-0898</t>
  </si>
  <si>
    <t>DOC-0899</t>
  </si>
  <si>
    <t>DOC-0900</t>
  </si>
  <si>
    <t>DOC-0901</t>
  </si>
  <si>
    <t>DOC-0902</t>
  </si>
  <si>
    <t>DOC-0903</t>
  </si>
  <si>
    <t>DOC-0904</t>
  </si>
  <si>
    <t>DOC-0905</t>
  </si>
  <si>
    <t>DOC-0906</t>
  </si>
  <si>
    <t>DOC-0907</t>
  </si>
  <si>
    <t>DOC-0908</t>
  </si>
  <si>
    <t>DOC-0909</t>
  </si>
  <si>
    <t>DOC-0910</t>
  </si>
  <si>
    <t>DOC-0911</t>
  </si>
  <si>
    <t>DOC-0912</t>
  </si>
  <si>
    <t>Digital Marketing G3</t>
  </si>
  <si>
    <t>DOC-0913</t>
  </si>
  <si>
    <t>DOC-0914</t>
  </si>
  <si>
    <t>Hana Fernandes</t>
  </si>
  <si>
    <t>DOC-0915</t>
  </si>
  <si>
    <t>DOC-0916</t>
  </si>
  <si>
    <t>DOC-0917</t>
  </si>
  <si>
    <t>DOC-0918</t>
  </si>
  <si>
    <t>Planning D1</t>
  </si>
  <si>
    <t>DOC-0919</t>
  </si>
  <si>
    <t>DOC-0920</t>
  </si>
  <si>
    <t>DOC-0921</t>
  </si>
  <si>
    <t>DOC-0922</t>
  </si>
  <si>
    <t>DOC-0923</t>
  </si>
  <si>
    <t>DOC-0924</t>
  </si>
  <si>
    <t>DOC-0925</t>
  </si>
  <si>
    <t>DOC-0926</t>
  </si>
  <si>
    <t>DOC-0927</t>
  </si>
  <si>
    <t>DOC-0928</t>
  </si>
  <si>
    <t>DOC-0929</t>
  </si>
  <si>
    <t>Rami Smith</t>
  </si>
  <si>
    <t>VIP Services G4</t>
  </si>
  <si>
    <t>DOC-0930</t>
  </si>
  <si>
    <t>DOC-0931</t>
  </si>
  <si>
    <t>DOC-0932</t>
  </si>
  <si>
    <t>Events M2</t>
  </si>
  <si>
    <t>DOC-0933</t>
  </si>
  <si>
    <t>DOC-0934</t>
  </si>
  <si>
    <t>DOC-0935</t>
  </si>
  <si>
    <t>DOC-0936</t>
  </si>
  <si>
    <t>DOC-0937</t>
  </si>
  <si>
    <t>DOC-0938</t>
  </si>
  <si>
    <t>DOC-0939</t>
  </si>
  <si>
    <t>DOC-0940</t>
  </si>
  <si>
    <t>DOC-0941</t>
  </si>
  <si>
    <t>DOC-0942</t>
  </si>
  <si>
    <t>DOC-0943</t>
  </si>
  <si>
    <t>DOC-0944</t>
  </si>
  <si>
    <t>DOC-0945</t>
  </si>
  <si>
    <t>DOC-0946</t>
  </si>
  <si>
    <t>DOC-0947</t>
  </si>
  <si>
    <t>DOC-0948</t>
  </si>
  <si>
    <t>DOC-0949</t>
  </si>
  <si>
    <t>DOC-0950</t>
  </si>
  <si>
    <t>DOC-0951</t>
  </si>
  <si>
    <t>DOC-0952</t>
  </si>
  <si>
    <t>DOC-0953</t>
  </si>
  <si>
    <t>DOC-0954</t>
  </si>
  <si>
    <t>DOC-0955</t>
  </si>
  <si>
    <t>DOC-0956</t>
  </si>
  <si>
    <t>DOC-0957</t>
  </si>
  <si>
    <t>DOC-0958</t>
  </si>
  <si>
    <t>Lina Davis</t>
  </si>
  <si>
    <t>DOC-0959</t>
  </si>
  <si>
    <t>Karim Fernandes</t>
  </si>
  <si>
    <t>DOC-0960</t>
  </si>
  <si>
    <t>DOC-0961</t>
  </si>
  <si>
    <t>DOC-0962</t>
  </si>
  <si>
    <t>DOC-0963</t>
  </si>
  <si>
    <t>DOC-0964</t>
  </si>
  <si>
    <t>DOC-0965</t>
  </si>
  <si>
    <t>DOC-0966</t>
  </si>
  <si>
    <t>DOC-0967</t>
  </si>
  <si>
    <t>DOC-0968</t>
  </si>
  <si>
    <t>DOC-0969</t>
  </si>
  <si>
    <t>DOC-0970</t>
  </si>
  <si>
    <t>DOC-0971</t>
  </si>
  <si>
    <t>DOC-0972</t>
  </si>
  <si>
    <t>Mark Kfoury</t>
  </si>
  <si>
    <t>DOC-0973</t>
  </si>
  <si>
    <t>DOC-0974</t>
  </si>
  <si>
    <t>DOC-0975</t>
  </si>
  <si>
    <t>DOC-0976</t>
  </si>
  <si>
    <t>DOC-0977</t>
  </si>
  <si>
    <t>DOC-0978</t>
  </si>
  <si>
    <t>DOC-0979</t>
  </si>
  <si>
    <t>DOC-0980</t>
  </si>
  <si>
    <t>DOC-0981</t>
  </si>
  <si>
    <t>DOC-0982</t>
  </si>
  <si>
    <t>DOC-0983</t>
  </si>
  <si>
    <t>DOC-0984</t>
  </si>
  <si>
    <t>DOC-0985</t>
  </si>
  <si>
    <t>DOC-0986</t>
  </si>
  <si>
    <t>DOC-0987</t>
  </si>
  <si>
    <t>DOC-0988</t>
  </si>
  <si>
    <t>DOC-0989</t>
  </si>
  <si>
    <t>DOC-0990</t>
  </si>
  <si>
    <t>DOC-0991</t>
  </si>
  <si>
    <t>DOC-0992</t>
  </si>
  <si>
    <t>DOC-0993</t>
  </si>
  <si>
    <t>Cybersecurity M2</t>
  </si>
  <si>
    <t>DOC-0994</t>
  </si>
  <si>
    <t>DOC-0995</t>
  </si>
  <si>
    <t>DOC-0996</t>
  </si>
  <si>
    <t>DOC-0997</t>
  </si>
  <si>
    <t>DOC-0998</t>
  </si>
  <si>
    <t>DOC-0999</t>
  </si>
  <si>
    <t>DOC-1000</t>
  </si>
  <si>
    <t>Sara Singh</t>
  </si>
  <si>
    <t>Month</t>
  </si>
  <si>
    <t>Opening_Headcount</t>
  </si>
  <si>
    <t>Hires</t>
  </si>
  <si>
    <t>Leavers</t>
  </si>
  <si>
    <t>Average_Headcount</t>
  </si>
  <si>
    <t>Vacancies</t>
  </si>
  <si>
    <t>Voluntary_Leavers</t>
  </si>
  <si>
    <t>Critical_Role_Leavers</t>
  </si>
  <si>
    <t>Absence_Days</t>
  </si>
  <si>
    <t>Available_Workdays</t>
  </si>
  <si>
    <t>Training_Completion_Rate</t>
  </si>
  <si>
    <t>Policy_Acknowledgement_Rate</t>
  </si>
  <si>
    <t>Mandatory_Training_Completion</t>
  </si>
  <si>
    <t>Succession_Coverage</t>
  </si>
  <si>
    <t>Turnover_Rate</t>
  </si>
  <si>
    <t>Absence_Rate</t>
  </si>
  <si>
    <t>Vacancy_Rate</t>
  </si>
  <si>
    <t>Revenue_QAR</t>
  </si>
  <si>
    <t>Operating_Cost_Excl_Workforce_QAR</t>
  </si>
  <si>
    <t>Workforce_Cost_QAR</t>
  </si>
  <si>
    <t>Overtime_Cost_QAR</t>
  </si>
  <si>
    <t>Training_Cost_QAR</t>
  </si>
  <si>
    <t>Recruitment_Cost_QAR</t>
  </si>
  <si>
    <t>Turnover_Cost_QAR</t>
  </si>
  <si>
    <t>Output_Index</t>
  </si>
  <si>
    <t>Revenue_Per_Employee</t>
  </si>
  <si>
    <t>Workforce_Cost_Ratio</t>
  </si>
  <si>
    <t>Human_Capital_ROI</t>
  </si>
  <si>
    <t>Offer_Acceptance_Rate</t>
  </si>
  <si>
    <t>Candidate_NPS</t>
  </si>
  <si>
    <t>Employer_Brand_Score</t>
  </si>
  <si>
    <t>Employee_Advocacy_Score</t>
  </si>
  <si>
    <t>Social_Sentiment_Score</t>
  </si>
  <si>
    <t>Brand_Campaign_Reach</t>
  </si>
  <si>
    <t>Glassdoor_Style_Rating</t>
  </si>
  <si>
    <t>Customer_Satisfaction</t>
  </si>
  <si>
    <t>Complaint_Rate</t>
  </si>
  <si>
    <t>SLA_Compliance</t>
  </si>
  <si>
    <t>Service_Backlog</t>
  </si>
  <si>
    <t>Quality_Incidents</t>
  </si>
  <si>
    <t>Response_Time_Hours</t>
  </si>
  <si>
    <t>Operational_Risk_Score</t>
  </si>
  <si>
    <t>Composite_HC_Impact_Score</t>
  </si>
  <si>
    <t>Business Area</t>
  </si>
  <si>
    <t>Business KPI</t>
  </si>
  <si>
    <t>Human Capital Driver</t>
  </si>
  <si>
    <t>Correlation Logic</t>
  </si>
  <si>
    <t>Sindibad Insight Example</t>
  </si>
  <si>
    <t>Suggested Action</t>
  </si>
  <si>
    <t>Revenue per employee</t>
  </si>
  <si>
    <t>Engagement Score</t>
  </si>
  <si>
    <t>Higher engagement should support stronger productivity and revenue per employee.</t>
  </si>
  <si>
    <t>Low engagement and falling revenue per employee indicate productivity risk.</t>
  </si>
  <si>
    <t>Review manager capability, workload and recognition.</t>
  </si>
  <si>
    <t>Overtime Cost</t>
  </si>
  <si>
    <t>Absence Rate + Vacancy Rate</t>
  </si>
  <si>
    <t>High absence and vacancies usually create overtime pressure.</t>
  </si>
  <si>
    <t>Rising absence and vacancies explain overtime cost increase.</t>
  </si>
  <si>
    <t>Strengthen workforce planning and absence management.</t>
  </si>
  <si>
    <t>Turnover Cost</t>
  </si>
  <si>
    <t>Turnover Rate</t>
  </si>
  <si>
    <t>Leavers create replacement, recruitment and onboarding cost.</t>
  </si>
  <si>
    <t>High turnover is creating hidden cost pressure.</t>
  </si>
  <si>
    <t>Create retention plan for high-risk roles.</t>
  </si>
  <si>
    <t>Employer Brand Score</t>
  </si>
  <si>
    <t>Engagement + Offer Acceptance</t>
  </si>
  <si>
    <t>Candidate and employee perceptions move together.</t>
  </si>
  <si>
    <t>Low engagement and offer acceptance signal EVP weakness.</t>
  </si>
  <si>
    <t>Refresh employer value proposition.</t>
  </si>
  <si>
    <t>Customer</t>
  </si>
  <si>
    <t>Customer Satisfaction</t>
  </si>
  <si>
    <t>Training Completion + Engagement</t>
  </si>
  <si>
    <t>Prepared and engaged staff usually serve customers better.</t>
  </si>
  <si>
    <t>Low training completion aligns with lower customer satisfaction.</t>
  </si>
  <si>
    <t>Focus training on customer-facing roles.</t>
  </si>
  <si>
    <t>Complaint Rate</t>
  </si>
  <si>
    <t>Turnover + Absence</t>
  </si>
  <si>
    <t>Unstable teams often create service inconsistency.</t>
  </si>
  <si>
    <t>High turnover and absence are linked with more complaints.</t>
  </si>
  <si>
    <t>Stabilise rosters and improve onboarding.</t>
  </si>
  <si>
    <t>SLA Compliance</t>
  </si>
  <si>
    <t>Vacancy + Skills Gap</t>
  </si>
  <si>
    <t>Missing roles and skills reduce service speed.</t>
  </si>
  <si>
    <t>Vacancies are lowering SLA compliance.</t>
  </si>
  <si>
    <t>Prioritise critical recruitment and cross-training.</t>
  </si>
  <si>
    <t>Risk</t>
  </si>
  <si>
    <t>Compliance Readiness</t>
  </si>
  <si>
    <t>Policy Acknowledgement + Mandatory Training</t>
  </si>
  <si>
    <t>Weak completion creates audit exposure.</t>
  </si>
  <si>
    <t>Incomplete policy acknowledgement is an evidence gap.</t>
  </si>
  <si>
    <t>Automate reminders and escalation.</t>
  </si>
  <si>
    <t>ESG</t>
  </si>
  <si>
    <t>Localisation / Qatarisation</t>
  </si>
  <si>
    <t>Workforce Composition + Development</t>
  </si>
  <si>
    <t>Local talent pipelines support national contribution.</t>
  </si>
  <si>
    <t>Low leadership localisation shows succession gap.</t>
  </si>
  <si>
    <t>Build Qatari leadership pipeline.</t>
  </si>
  <si>
    <t>Strategy</t>
  </si>
  <si>
    <t>Human Capital Impact Score</t>
  </si>
  <si>
    <t>Turnover + engagement + skills + succession</t>
  </si>
  <si>
    <t>A combined score shows people risk to business strategy.</t>
  </si>
  <si>
    <t>Low impact score flags departments needing leadership attention.</t>
  </si>
  <si>
    <t>Assign corrective action owner.</t>
  </si>
  <si>
    <t>ISO Area</t>
  </si>
  <si>
    <t>Owner</t>
  </si>
  <si>
    <t>Source System</t>
  </si>
  <si>
    <t>Evidence Required</t>
  </si>
  <si>
    <t>Completeness %</t>
  </si>
  <si>
    <t>Validation Status</t>
  </si>
  <si>
    <t>Risk Level</t>
  </si>
  <si>
    <t>Next Action</t>
  </si>
  <si>
    <t>Workforce Composition</t>
  </si>
  <si>
    <t>HRMS</t>
  </si>
  <si>
    <t>Employee master data extract</t>
  </si>
  <si>
    <t>Validated</t>
  </si>
  <si>
    <t>Monthly HRMS data check</t>
  </si>
  <si>
    <t>Talent Acquisition</t>
  </si>
  <si>
    <t>ATS / Excel</t>
  </si>
  <si>
    <t>Vacancy approval, source of hire, offer records</t>
  </si>
  <si>
    <t>Partially Validated</t>
  </si>
  <si>
    <t>Standardise recruitment tracker</t>
  </si>
  <si>
    <t>Turnover</t>
  </si>
  <si>
    <t>HRMS / Exit Forms</t>
  </si>
  <si>
    <t>Leaver report, exit reason summary</t>
  </si>
  <si>
    <t>Clean exit reason categories</t>
  </si>
  <si>
    <t>Skills &amp; Development</t>
  </si>
  <si>
    <t>LMS</t>
  </si>
  <si>
    <t>Attendance, completion, certificates, impact survey</t>
  </si>
  <si>
    <t>In Progress</t>
  </si>
  <si>
    <t>Add impact measurement</t>
  </si>
  <si>
    <t>Succession</t>
  </si>
  <si>
    <t>Talent Management</t>
  </si>
  <si>
    <t>Talent File</t>
  </si>
  <si>
    <t>Critical role list, successors, readiness levels</t>
  </si>
  <si>
    <t>Build successor readiness register</t>
  </si>
  <si>
    <t>Workforce Cost</t>
  </si>
  <si>
    <t>Payroll / GL</t>
  </si>
  <si>
    <t>Payroll extract, benefits, workforce cost validation</t>
  </si>
  <si>
    <t>Quarterly finance reconciliation</t>
  </si>
  <si>
    <t>Productivity</t>
  </si>
  <si>
    <t>Strategy / Finance</t>
  </si>
  <si>
    <t>Finance / Ops</t>
  </si>
  <si>
    <t>Revenue, output, headcount and productivity logic</t>
  </si>
  <si>
    <t>Agree productivity formulas</t>
  </si>
  <si>
    <t>Engagement &amp; Culture</t>
  </si>
  <si>
    <t>HR / Marketing</t>
  </si>
  <si>
    <t>Survey Platform</t>
  </si>
  <si>
    <t>Engagement report, action plan, communication evidence</t>
  </si>
  <si>
    <t>Link actions to departments</t>
  </si>
  <si>
    <t>Compliance &amp; Ethics</t>
  </si>
  <si>
    <t>ER / Legal</t>
  </si>
  <si>
    <t>Case Management</t>
  </si>
  <si>
    <t>Policy acknowledgement, ER case log, corrective actions</t>
  </si>
  <si>
    <t>Improve case closure evidence</t>
  </si>
  <si>
    <t>Health &amp; Wellbeing</t>
  </si>
  <si>
    <t>HR / HSE</t>
  </si>
  <si>
    <t>HSE / Absence</t>
  </si>
  <si>
    <t>Sick leave, incidents, wellbeing participation</t>
  </si>
  <si>
    <t>Integrate HSE records</t>
  </si>
  <si>
    <t>Brand Correlation</t>
  </si>
  <si>
    <t>Marketing / HR</t>
  </si>
  <si>
    <t>Survey / Campaign Data</t>
  </si>
  <si>
    <t>EVP metrics, advocacy, sentiment, offer acceptance</t>
  </si>
  <si>
    <t>Connect candidate and employee brand data</t>
  </si>
  <si>
    <t>Customer Correlation</t>
  </si>
  <si>
    <t>CRM / Service Desk</t>
  </si>
  <si>
    <t>CSAT, complaints, SLA, response time</t>
  </si>
  <si>
    <t>Map frontline teams to service results</t>
  </si>
  <si>
    <t>Sindibad Human Capital Correlation Dashboard - Doha Oasis Company</t>
  </si>
  <si>
    <t>KPI</t>
  </si>
  <si>
    <t>Value</t>
  </si>
  <si>
    <t>Correlation Pair</t>
  </si>
  <si>
    <t>Excel Formula</t>
  </si>
  <si>
    <t>Average Engagement Score</t>
  </si>
  <si>
    <t>Engagement vs Revenue / Employee</t>
  </si>
  <si>
    <t>Average Turnover Rate</t>
  </si>
  <si>
    <t>Engagement vs Employer Brand</t>
  </si>
  <si>
    <t>Average Absence Rate</t>
  </si>
  <si>
    <t>Training Completion vs Customer Satisfaction</t>
  </si>
  <si>
    <t>Average Training Completion</t>
  </si>
  <si>
    <t>Turnover Rate vs Complaint Rate</t>
  </si>
  <si>
    <t>Average Employer Brand Score</t>
  </si>
  <si>
    <t>Absence Rate vs SLA Compliance</t>
  </si>
  <si>
    <t>Average Customer Satisfaction</t>
  </si>
  <si>
    <t>Vacancy Rate vs Service Backlog</t>
  </si>
  <si>
    <t>Average SLA Compliance</t>
  </si>
  <si>
    <t>HC Impact Score vs Human Capital ROI</t>
  </si>
  <si>
    <t>Average HC Impact Score</t>
  </si>
  <si>
    <t>Total Revenue QAR</t>
  </si>
  <si>
    <t>Total Workforce Cost QAR</t>
  </si>
  <si>
    <t>Engagement</t>
  </si>
  <si>
    <t>Training</t>
  </si>
  <si>
    <t>CSAT</t>
  </si>
  <si>
    <t>SLA</t>
  </si>
  <si>
    <t>HC Impact</t>
  </si>
  <si>
    <t>Recommended Sindibad Insight</t>
  </si>
  <si>
    <t>Trigger</t>
  </si>
  <si>
    <t>Frontline instability is affecting service quality</t>
  </si>
  <si>
    <t>Turnover &gt; average and complaints rising</t>
  </si>
  <si>
    <t>Prioritise retention actions in customer-facing departments</t>
  </si>
  <si>
    <t>Brand risk may be internal before external</t>
  </si>
  <si>
    <t>Engagement and advocacy below target</t>
  </si>
  <si>
    <t>Launch EVP refresh and internal communication campaign</t>
  </si>
  <si>
    <t>Financial pressure is partly people-driven</t>
  </si>
  <si>
    <t>Overtime cost linked to absence and vacancies</t>
  </si>
  <si>
    <t>Improve workforce planning and reduce absence hotspots</t>
  </si>
  <si>
    <t>ISO evidence gap remains in skills and succession</t>
  </si>
  <si>
    <t>Evidence completeness below 75%</t>
  </si>
  <si>
    <t>Complete LMS evidence and critical role successor register</t>
  </si>
  <si>
    <t>Leadership should review low HC Impact departments</t>
  </si>
  <si>
    <t>HC Impact score below 70</t>
  </si>
  <si>
    <t>Assign owners for corrective actions and track monthly</t>
  </si>
  <si>
    <t>Departments</t>
  </si>
  <si>
    <t>Grades</t>
  </si>
  <si>
    <t>Nationalities</t>
  </si>
  <si>
    <t>Contract 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</si>
</sst>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%"/>
    <numFmt numFmtId="166" formatCode="0.0"/>
    <numFmt numFmtId="167" formatCode="#,##0\ &quot;QAR&quot;"/>
  </numFmts>
  <fonts count="4" x14ac:knownFonts="1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color rgb="FF17365D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3" fillId="4" borderId="0" xfId="0" applyNumberFormat="1" applyFont="1" applyFill="1" applyBorder="1"/>
    <xf numFmtId="164" fontId="0" fillId="0" borderId="0" xfId="0" applyNumberFormat="1" applyFont="1" applyFill="1" applyBorder="1"/>
    <xf numFmtId="3" fontId="0" fillId="0" borderId="0" xfId="0" applyNumberFormat="1" applyFont="1" applyFill="1" applyBorder="1"/>
    <xf numFmtId="17" fontId="0" fillId="0" borderId="0" xfId="0" applyNumberFormat="1" applyFont="1" applyFill="1" applyBorder="1"/>
    <xf numFmtId="165" fontId="0" fillId="0" borderId="0" xfId="0" applyNumberFormat="1" applyFont="1" applyFill="1" applyBorder="1"/>
    <xf numFmtId="166" fontId="0" fillId="0" borderId="0" xfId="0" applyNumberFormat="1" applyFont="1" applyFill="1" applyBorder="1"/>
    <xf numFmtId="2" fontId="0" fillId="0" borderId="0" xfId="0" applyNumberFormat="1" applyFont="1" applyFill="1" applyBorder="1"/>
    <xf numFmtId="9" fontId="0" fillId="0" borderId="0" xfId="0" applyNumberFormat="1" applyFont="1" applyFill="1" applyBorder="1"/>
    <xf numFmtId="167" fontId="0" fillId="0" borderId="0" xfId="0" applyNumberFormat="1" applyFont="1" applyFill="1" applyBorder="1"/>
    <xf numFmtId="0" fontId="2" fillId="3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calcChain" Target="calcChain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Department Human Capital and Business Correlation Summary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Engagement</c:v>
          </c:tx>
          <c:invertIfNegative val="1"/>
          <c:cat>
            <c:strRef>
              <c:f>Dashboard!$A$17:$A$26</c:f>
              <c:strCache>
                <c:ptCount val="10"/>
                <c:pt idx="0">
                  <c:v>Hospitality</c:v>
                </c:pt>
                <c:pt idx="1">
                  <c:v>Retail</c:v>
                </c:pt>
                <c:pt idx="2">
                  <c:v>Facilities</c:v>
                </c:pt>
                <c:pt idx="3">
                  <c:v>Security</c:v>
                </c:pt>
                <c:pt idx="4">
                  <c:v>Finance</c:v>
                </c:pt>
                <c:pt idx="5">
                  <c:v>HR</c:v>
                </c:pt>
                <c:pt idx="6">
                  <c:v>Marketing</c:v>
                </c:pt>
                <c:pt idx="7">
                  <c:v>IT</c:v>
                </c:pt>
                <c:pt idx="8">
                  <c:v>Operations</c:v>
                </c:pt>
                <c:pt idx="9">
                  <c:v>Customer Experience</c:v>
                </c:pt>
              </c:strCache>
            </c:strRef>
          </c:cat>
          <c:val>
            <c:numRef>
              <c:f>Dashboard!$B$17:$B$26</c:f>
              <c:numCache>
                <c:formatCode>General</c:formatCode>
                <c:ptCount val="10"/>
                <c:pt idx="0">
                  <c:v>63.083333333333336</c:v>
                </c:pt>
                <c:pt idx="1">
                  <c:v>64.75</c:v>
                </c:pt>
                <c:pt idx="2">
                  <c:v>64</c:v>
                </c:pt>
                <c:pt idx="3">
                  <c:v>67.75</c:v>
                </c:pt>
                <c:pt idx="4">
                  <c:v>66.166666666666671</c:v>
                </c:pt>
                <c:pt idx="5">
                  <c:v>68.166666666666671</c:v>
                </c:pt>
                <c:pt idx="6">
                  <c:v>63.083333333333336</c:v>
                </c:pt>
                <c:pt idx="7">
                  <c:v>66.25</c:v>
                </c:pt>
                <c:pt idx="8">
                  <c:v>66</c:v>
                </c:pt>
                <c:pt idx="9">
                  <c:v>59.75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8F-EE44-AB97-F0CDE9B04D1F}"/>
            </c:ext>
          </c:extLst>
        </c:ser>
        <c:ser>
          <c:idx val="1"/>
          <c:order val="1"/>
          <c:tx>
            <c:v>Turnover</c:v>
          </c:tx>
          <c:invertIfNegative val="1"/>
          <c:cat>
            <c:strRef>
              <c:f>Dashboard!$A$17:$A$26</c:f>
              <c:strCache>
                <c:ptCount val="10"/>
                <c:pt idx="0">
                  <c:v>Hospitality</c:v>
                </c:pt>
                <c:pt idx="1">
                  <c:v>Retail</c:v>
                </c:pt>
                <c:pt idx="2">
                  <c:v>Facilities</c:v>
                </c:pt>
                <c:pt idx="3">
                  <c:v>Security</c:v>
                </c:pt>
                <c:pt idx="4">
                  <c:v>Finance</c:v>
                </c:pt>
                <c:pt idx="5">
                  <c:v>HR</c:v>
                </c:pt>
                <c:pt idx="6">
                  <c:v>Marketing</c:v>
                </c:pt>
                <c:pt idx="7">
                  <c:v>IT</c:v>
                </c:pt>
                <c:pt idx="8">
                  <c:v>Operations</c:v>
                </c:pt>
                <c:pt idx="9">
                  <c:v>Customer Experience</c:v>
                </c:pt>
              </c:strCache>
            </c:strRef>
          </c:cat>
          <c:val>
            <c:numRef>
              <c:f>Dashboard!$C$17:$C$26</c:f>
              <c:numCache>
                <c:formatCode>0.0%</c:formatCode>
                <c:ptCount val="10"/>
                <c:pt idx="0">
                  <c:v>2.0593962933717954E-2</c:v>
                </c:pt>
                <c:pt idx="1">
                  <c:v>1.9634331941553496E-2</c:v>
                </c:pt>
                <c:pt idx="2">
                  <c:v>1.6008898957031146E-2</c:v>
                </c:pt>
                <c:pt idx="3">
                  <c:v>1.5769449652040513E-2</c:v>
                </c:pt>
                <c:pt idx="4">
                  <c:v>1.5627514846264845E-2</c:v>
                </c:pt>
                <c:pt idx="5">
                  <c:v>1.9779202279202275E-2</c:v>
                </c:pt>
                <c:pt idx="6">
                  <c:v>1.4215477943633766E-2</c:v>
                </c:pt>
                <c:pt idx="7">
                  <c:v>1.6080521236187778E-2</c:v>
                </c:pt>
                <c:pt idx="8">
                  <c:v>1.4113839974189961E-2</c:v>
                </c:pt>
                <c:pt idx="9">
                  <c:v>2.2623356175987753E-2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8F-EE44-AB97-F0CDE9B04D1F}"/>
            </c:ext>
          </c:extLst>
        </c:ser>
        <c:ser>
          <c:idx val="2"/>
          <c:order val="2"/>
          <c:tx>
            <c:v>Training</c:v>
          </c:tx>
          <c:invertIfNegative val="1"/>
          <c:cat>
            <c:strRef>
              <c:f>Dashboard!$A$17:$A$26</c:f>
              <c:strCache>
                <c:ptCount val="10"/>
                <c:pt idx="0">
                  <c:v>Hospitality</c:v>
                </c:pt>
                <c:pt idx="1">
                  <c:v>Retail</c:v>
                </c:pt>
                <c:pt idx="2">
                  <c:v>Facilities</c:v>
                </c:pt>
                <c:pt idx="3">
                  <c:v>Security</c:v>
                </c:pt>
                <c:pt idx="4">
                  <c:v>Finance</c:v>
                </c:pt>
                <c:pt idx="5">
                  <c:v>HR</c:v>
                </c:pt>
                <c:pt idx="6">
                  <c:v>Marketing</c:v>
                </c:pt>
                <c:pt idx="7">
                  <c:v>IT</c:v>
                </c:pt>
                <c:pt idx="8">
                  <c:v>Operations</c:v>
                </c:pt>
                <c:pt idx="9">
                  <c:v>Customer Experience</c:v>
                </c:pt>
              </c:strCache>
            </c:strRef>
          </c:cat>
          <c:val>
            <c:numRef>
              <c:f>Dashboard!$D$17:$D$26</c:f>
              <c:numCache>
                <c:formatCode>0.0%</c:formatCode>
                <c:ptCount val="10"/>
                <c:pt idx="0">
                  <c:v>0.80589097259776965</c:v>
                </c:pt>
                <c:pt idx="1">
                  <c:v>0.85904710677772422</c:v>
                </c:pt>
                <c:pt idx="2">
                  <c:v>0.79012077961464733</c:v>
                </c:pt>
                <c:pt idx="3">
                  <c:v>0.79366709085505871</c:v>
                </c:pt>
                <c:pt idx="4">
                  <c:v>0.83300854541397695</c:v>
                </c:pt>
                <c:pt idx="5">
                  <c:v>0.79938805941179381</c:v>
                </c:pt>
                <c:pt idx="6">
                  <c:v>0.7786370266099123</c:v>
                </c:pt>
                <c:pt idx="7">
                  <c:v>0.8182676024455523</c:v>
                </c:pt>
                <c:pt idx="8">
                  <c:v>0.82462056779761417</c:v>
                </c:pt>
                <c:pt idx="9">
                  <c:v>0.77163588344089895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8F-EE44-AB97-F0CDE9B04D1F}"/>
            </c:ext>
          </c:extLst>
        </c:ser>
        <c:ser>
          <c:idx val="3"/>
          <c:order val="3"/>
          <c:tx>
            <c:v>Brand</c:v>
          </c:tx>
          <c:invertIfNegative val="1"/>
          <c:cat>
            <c:strRef>
              <c:f>Dashboard!$A$17:$A$26</c:f>
              <c:strCache>
                <c:ptCount val="10"/>
                <c:pt idx="0">
                  <c:v>Hospitality</c:v>
                </c:pt>
                <c:pt idx="1">
                  <c:v>Retail</c:v>
                </c:pt>
                <c:pt idx="2">
                  <c:v>Facilities</c:v>
                </c:pt>
                <c:pt idx="3">
                  <c:v>Security</c:v>
                </c:pt>
                <c:pt idx="4">
                  <c:v>Finance</c:v>
                </c:pt>
                <c:pt idx="5">
                  <c:v>HR</c:v>
                </c:pt>
                <c:pt idx="6">
                  <c:v>Marketing</c:v>
                </c:pt>
                <c:pt idx="7">
                  <c:v>IT</c:v>
                </c:pt>
                <c:pt idx="8">
                  <c:v>Operations</c:v>
                </c:pt>
                <c:pt idx="9">
                  <c:v>Customer Experience</c:v>
                </c:pt>
              </c:strCache>
            </c:strRef>
          </c:cat>
          <c:val>
            <c:numRef>
              <c:f>Dashboard!$E$17:$E$26</c:f>
              <c:numCache>
                <c:formatCode>General</c:formatCode>
                <c:ptCount val="10"/>
                <c:pt idx="0">
                  <c:v>64.416666666666671</c:v>
                </c:pt>
                <c:pt idx="1">
                  <c:v>65.916666666666671</c:v>
                </c:pt>
                <c:pt idx="2">
                  <c:v>64.25</c:v>
                </c:pt>
                <c:pt idx="3">
                  <c:v>67.083333333333329</c:v>
                </c:pt>
                <c:pt idx="4">
                  <c:v>65.666666666666671</c:v>
                </c:pt>
                <c:pt idx="5">
                  <c:v>66</c:v>
                </c:pt>
                <c:pt idx="6">
                  <c:v>66.083333333333329</c:v>
                </c:pt>
                <c:pt idx="7">
                  <c:v>66.5</c:v>
                </c:pt>
                <c:pt idx="8">
                  <c:v>67.583333333333329</c:v>
                </c:pt>
                <c:pt idx="9">
                  <c:v>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8F-EE44-AB97-F0CDE9B04D1F}"/>
            </c:ext>
          </c:extLst>
        </c:ser>
        <c:ser>
          <c:idx val="4"/>
          <c:order val="4"/>
          <c:tx>
            <c:v>CSAT</c:v>
          </c:tx>
          <c:invertIfNegative val="1"/>
          <c:cat>
            <c:strRef>
              <c:f>Dashboard!$A$17:$A$26</c:f>
              <c:strCache>
                <c:ptCount val="10"/>
                <c:pt idx="0">
                  <c:v>Hospitality</c:v>
                </c:pt>
                <c:pt idx="1">
                  <c:v>Retail</c:v>
                </c:pt>
                <c:pt idx="2">
                  <c:v>Facilities</c:v>
                </c:pt>
                <c:pt idx="3">
                  <c:v>Security</c:v>
                </c:pt>
                <c:pt idx="4">
                  <c:v>Finance</c:v>
                </c:pt>
                <c:pt idx="5">
                  <c:v>HR</c:v>
                </c:pt>
                <c:pt idx="6">
                  <c:v>Marketing</c:v>
                </c:pt>
                <c:pt idx="7">
                  <c:v>IT</c:v>
                </c:pt>
                <c:pt idx="8">
                  <c:v>Operations</c:v>
                </c:pt>
                <c:pt idx="9">
                  <c:v>Customer Experience</c:v>
                </c:pt>
              </c:strCache>
            </c:strRef>
          </c:cat>
          <c:val>
            <c:numRef>
              <c:f>Dashboard!$F$17:$F$26</c:f>
              <c:numCache>
                <c:formatCode>General</c:formatCode>
                <c:ptCount val="10"/>
                <c:pt idx="0">
                  <c:v>76.916666666666671</c:v>
                </c:pt>
                <c:pt idx="1">
                  <c:v>79.5</c:v>
                </c:pt>
                <c:pt idx="2">
                  <c:v>70.083333333333329</c:v>
                </c:pt>
                <c:pt idx="3">
                  <c:v>79.666666666666671</c:v>
                </c:pt>
                <c:pt idx="4">
                  <c:v>72.166666666666671</c:v>
                </c:pt>
                <c:pt idx="5">
                  <c:v>72.083333333333329</c:v>
                </c:pt>
                <c:pt idx="6">
                  <c:v>68.583333333333329</c:v>
                </c:pt>
                <c:pt idx="7">
                  <c:v>71.25</c:v>
                </c:pt>
                <c:pt idx="8">
                  <c:v>78.583333333333329</c:v>
                </c:pt>
                <c:pt idx="9">
                  <c:v>74.75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8F-EE44-AB97-F0CDE9B04D1F}"/>
            </c:ext>
          </c:extLst>
        </c:ser>
        <c:ser>
          <c:idx val="5"/>
          <c:order val="5"/>
          <c:tx>
            <c:v>SLA</c:v>
          </c:tx>
          <c:invertIfNegative val="1"/>
          <c:cat>
            <c:strRef>
              <c:f>Dashboard!$A$17:$A$26</c:f>
              <c:strCache>
                <c:ptCount val="10"/>
                <c:pt idx="0">
                  <c:v>Hospitality</c:v>
                </c:pt>
                <c:pt idx="1">
                  <c:v>Retail</c:v>
                </c:pt>
                <c:pt idx="2">
                  <c:v>Facilities</c:v>
                </c:pt>
                <c:pt idx="3">
                  <c:v>Security</c:v>
                </c:pt>
                <c:pt idx="4">
                  <c:v>Finance</c:v>
                </c:pt>
                <c:pt idx="5">
                  <c:v>HR</c:v>
                </c:pt>
                <c:pt idx="6">
                  <c:v>Marketing</c:v>
                </c:pt>
                <c:pt idx="7">
                  <c:v>IT</c:v>
                </c:pt>
                <c:pt idx="8">
                  <c:v>Operations</c:v>
                </c:pt>
                <c:pt idx="9">
                  <c:v>Customer Experience</c:v>
                </c:pt>
              </c:strCache>
            </c:strRef>
          </c:cat>
          <c:val>
            <c:numRef>
              <c:f>Dashboard!$G$17:$G$26</c:f>
              <c:numCache>
                <c:formatCode>0.0%</c:formatCode>
                <c:ptCount val="10"/>
                <c:pt idx="0">
                  <c:v>0.82228321963356399</c:v>
                </c:pt>
                <c:pt idx="1">
                  <c:v>0.81930700715865712</c:v>
                </c:pt>
                <c:pt idx="2">
                  <c:v>0.78138253609240993</c:v>
                </c:pt>
                <c:pt idx="3">
                  <c:v>0.84204355661948604</c:v>
                </c:pt>
                <c:pt idx="4">
                  <c:v>0.79875143872974075</c:v>
                </c:pt>
                <c:pt idx="5">
                  <c:v>0.7970303709688481</c:v>
                </c:pt>
                <c:pt idx="6">
                  <c:v>0.78367498906634747</c:v>
                </c:pt>
                <c:pt idx="7">
                  <c:v>0.79242273023013021</c:v>
                </c:pt>
                <c:pt idx="8">
                  <c:v>0.81492770745322451</c:v>
                </c:pt>
                <c:pt idx="9">
                  <c:v>0.81200745698459531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8F-EE44-AB97-F0CDE9B04D1F}"/>
            </c:ext>
          </c:extLst>
        </c:ser>
        <c:ser>
          <c:idx val="6"/>
          <c:order val="6"/>
          <c:tx>
            <c:v>HC Impact</c:v>
          </c:tx>
          <c:invertIfNegative val="1"/>
          <c:cat>
            <c:strRef>
              <c:f>Dashboard!$A$17:$A$26</c:f>
              <c:strCache>
                <c:ptCount val="10"/>
                <c:pt idx="0">
                  <c:v>Hospitality</c:v>
                </c:pt>
                <c:pt idx="1">
                  <c:v>Retail</c:v>
                </c:pt>
                <c:pt idx="2">
                  <c:v>Facilities</c:v>
                </c:pt>
                <c:pt idx="3">
                  <c:v>Security</c:v>
                </c:pt>
                <c:pt idx="4">
                  <c:v>Finance</c:v>
                </c:pt>
                <c:pt idx="5">
                  <c:v>HR</c:v>
                </c:pt>
                <c:pt idx="6">
                  <c:v>Marketing</c:v>
                </c:pt>
                <c:pt idx="7">
                  <c:v>IT</c:v>
                </c:pt>
                <c:pt idx="8">
                  <c:v>Operations</c:v>
                </c:pt>
                <c:pt idx="9">
                  <c:v>Customer Experience</c:v>
                </c:pt>
              </c:strCache>
            </c:strRef>
          </c:cat>
          <c:val>
            <c:numRef>
              <c:f>Dashboard!$H$17:$H$26</c:f>
              <c:numCache>
                <c:formatCode>General</c:formatCode>
                <c:ptCount val="10"/>
                <c:pt idx="0">
                  <c:v>78.350000000000009</c:v>
                </c:pt>
                <c:pt idx="1">
                  <c:v>78.566666666666663</c:v>
                </c:pt>
                <c:pt idx="2">
                  <c:v>77.616666666666674</c:v>
                </c:pt>
                <c:pt idx="3">
                  <c:v>78.75833333333334</c:v>
                </c:pt>
                <c:pt idx="4">
                  <c:v>79.916666666666671</c:v>
                </c:pt>
                <c:pt idx="5">
                  <c:v>78.483333333333334</c:v>
                </c:pt>
                <c:pt idx="6">
                  <c:v>77.649999999999991</c:v>
                </c:pt>
                <c:pt idx="7">
                  <c:v>79.208333333333329</c:v>
                </c:pt>
                <c:pt idx="8">
                  <c:v>79.325000000000003</c:v>
                </c:pt>
                <c:pt idx="9">
                  <c:v>76.63333333333334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8F-EE44-AB97-F0CDE9B04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Selected Correlations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Excel Formula</c:v>
          </c:tx>
          <c:invertIfNegative val="1"/>
          <c:cat>
            <c:strRef>
              <c:f>Dashboard!$D$4:$D$10</c:f>
              <c:strCache>
                <c:ptCount val="7"/>
                <c:pt idx="0">
                  <c:v>Engagement vs Revenue / Employee</c:v>
                </c:pt>
                <c:pt idx="1">
                  <c:v>Engagement vs Employer Brand</c:v>
                </c:pt>
                <c:pt idx="2">
                  <c:v>Training Completion vs Customer Satisfaction</c:v>
                </c:pt>
                <c:pt idx="3">
                  <c:v>Turnover Rate vs Complaint Rate</c:v>
                </c:pt>
                <c:pt idx="4">
                  <c:v>Absence Rate vs SLA Compliance</c:v>
                </c:pt>
                <c:pt idx="5">
                  <c:v>Vacancy Rate vs Service Backlog</c:v>
                </c:pt>
                <c:pt idx="6">
                  <c:v>HC Impact Score vs Human Capital ROI</c:v>
                </c:pt>
              </c:strCache>
            </c:strRef>
          </c:cat>
          <c:val>
            <c:numRef>
              <c:f>Dashboard!$E$4:$E$10</c:f>
              <c:numCache>
                <c:formatCode>General</c:formatCode>
                <c:ptCount val="7"/>
                <c:pt idx="0">
                  <c:v>-0.14836384700971034</c:v>
                </c:pt>
                <c:pt idx="1">
                  <c:v>0.76904193776403806</c:v>
                </c:pt>
                <c:pt idx="2">
                  <c:v>0.39585351872688096</c:v>
                </c:pt>
                <c:pt idx="3">
                  <c:v>0.32385188286889166</c:v>
                </c:pt>
                <c:pt idx="4">
                  <c:v>-0.11070889196901619</c:v>
                </c:pt>
                <c:pt idx="5">
                  <c:v>0.25061791334624445</c:v>
                </c:pt>
                <c:pt idx="6">
                  <c:v>-7.8244347067741634E-3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3A-DE4B-9B07-393ABF11DE45}"/>
            </c:ext>
          </c:extLst>
        </c:ser>
        <c:ser>
          <c:idx val="1"/>
          <c:order val="1"/>
          <c:tx>
            <c:v>Value</c:v>
          </c:tx>
          <c:invertIfNegative val="1"/>
          <c:cat>
            <c:strRef>
              <c:f>Dashboard!$D$4:$D$10</c:f>
              <c:strCache>
                <c:ptCount val="7"/>
                <c:pt idx="0">
                  <c:v>Engagement vs Revenue / Employee</c:v>
                </c:pt>
                <c:pt idx="1">
                  <c:v>Engagement vs Employer Brand</c:v>
                </c:pt>
                <c:pt idx="2">
                  <c:v>Training Completion vs Customer Satisfaction</c:v>
                </c:pt>
                <c:pt idx="3">
                  <c:v>Turnover Rate vs Complaint Rate</c:v>
                </c:pt>
                <c:pt idx="4">
                  <c:v>Absence Rate vs SLA Compliance</c:v>
                </c:pt>
                <c:pt idx="5">
                  <c:v>Vacancy Rate vs Service Backlog</c:v>
                </c:pt>
                <c:pt idx="6">
                  <c:v>HC Impact Score vs Human Capital ROI</c:v>
                </c:pt>
              </c:strCache>
            </c:strRef>
          </c:cat>
          <c:val>
            <c:numRef>
              <c:f>Dashboard!$F$4:$F$10</c:f>
              <c:numCache>
                <c:formatCode>0.00</c:formatCode>
                <c:ptCount val="7"/>
                <c:pt idx="0">
                  <c:v>-0.14836384700971034</c:v>
                </c:pt>
                <c:pt idx="1">
                  <c:v>0.76904193776403806</c:v>
                </c:pt>
                <c:pt idx="2">
                  <c:v>0.39585351872688096</c:v>
                </c:pt>
                <c:pt idx="3">
                  <c:v>0.32385188286889166</c:v>
                </c:pt>
                <c:pt idx="4">
                  <c:v>-0.11070889196901619</c:v>
                </c:pt>
                <c:pt idx="5">
                  <c:v>0.25061791334624445</c:v>
                </c:pt>
                <c:pt idx="6">
                  <c:v>-7.8244347067741634E-3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3A-DE4B-9B07-393ABF11D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19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21</xdr:row>
      <xdr:rowOff>0</xdr:rowOff>
    </xdr:from>
    <xdr:to>
      <xdr:col>19</xdr:col>
      <xdr:colOff>0</xdr:colOff>
      <xdr:row>38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sTable" displayName="EmployeesTable" ref="A1:Z1001">
  <tableColumns count="26">
    <tableColumn id="1" xr3:uid="{00000000-0010-0000-0000-000001000000}" name="Employee_ID"/>
    <tableColumn id="2" xr3:uid="{00000000-0010-0000-0000-000002000000}" name="Employee_Name"/>
    <tableColumn id="3" xr3:uid="{00000000-0010-0000-0000-000003000000}" name="Department"/>
    <tableColumn id="4" xr3:uid="{00000000-0010-0000-0000-000004000000}" name="Job_Family"/>
    <tableColumn id="5" xr3:uid="{00000000-0010-0000-0000-000005000000}" name="Job_Title"/>
    <tableColumn id="6" xr3:uid="{00000000-0010-0000-0000-000006000000}" name="Grade"/>
    <tableColumn id="7" xr3:uid="{00000000-0010-0000-0000-000007000000}" name="Contract_Type"/>
    <tableColumn id="8" xr3:uid="{00000000-0010-0000-0000-000008000000}" name="Gender"/>
    <tableColumn id="9" xr3:uid="{00000000-0010-0000-0000-000009000000}" name="Nationality"/>
    <tableColumn id="10" xr3:uid="{00000000-0010-0000-0000-00000A000000}" name="Hire_Date"/>
    <tableColumn id="11" xr3:uid="{00000000-0010-0000-0000-00000B000000}" name="Tenure_Years"/>
    <tableColumn id="12" xr3:uid="{00000000-0010-0000-0000-00000C000000}" name="Age"/>
    <tableColumn id="13" xr3:uid="{00000000-0010-0000-0000-00000D000000}" name="Monthly_Salary_QAR"/>
    <tableColumn id="14" xr3:uid="{00000000-0010-0000-0000-00000E000000}" name="Annual_Workforce_Cost_QAR"/>
    <tableColumn id="15" xr3:uid="{00000000-0010-0000-0000-00000F000000}" name="Critical_Role"/>
    <tableColumn id="16" xr3:uid="{00000000-0010-0000-0000-000010000000}" name="Customer_Facing"/>
    <tableColumn id="17" xr3:uid="{00000000-0010-0000-0000-000011000000}" name="Performance_Score"/>
    <tableColumn id="18" xr3:uid="{00000000-0010-0000-0000-000012000000}" name="Engagement_Score"/>
    <tableColumn id="19" xr3:uid="{00000000-0010-0000-0000-000013000000}" name="Training_Hours_YTD"/>
    <tableColumn id="20" xr3:uid="{00000000-0010-0000-0000-000014000000}" name="Mandatory_Training_Complete"/>
    <tableColumn id="21" xr3:uid="{00000000-0010-0000-0000-000015000000}" name="Absence_Days_YTD"/>
    <tableColumn id="22" xr3:uid="{00000000-0010-0000-0000-000016000000}" name="Overtime_Hours_YTD"/>
    <tableColumn id="23" xr3:uid="{00000000-0010-0000-0000-000017000000}" name="Successor_Ready"/>
    <tableColumn id="24" xr3:uid="{00000000-0010-0000-0000-000018000000}" name="High_Performer"/>
    <tableColumn id="25" xr3:uid="{00000000-0010-0000-0000-000019000000}" name="Exit_Risk"/>
    <tableColumn id="26" xr3:uid="{00000000-0010-0000-0000-00001A000000}" name="Linked_Business_Un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onthlyHRTable" displayName="MonthlyHRTable" ref="A1:S121">
  <tableColumns count="19">
    <tableColumn id="1" xr3:uid="{00000000-0010-0000-0100-000001000000}" name="Month"/>
    <tableColumn id="2" xr3:uid="{00000000-0010-0000-0100-000002000000}" name="Department"/>
    <tableColumn id="3" xr3:uid="{00000000-0010-0000-0100-000003000000}" name="Opening_Headcount"/>
    <tableColumn id="4" xr3:uid="{00000000-0010-0000-0100-000004000000}" name="Hires"/>
    <tableColumn id="5" xr3:uid="{00000000-0010-0000-0100-000005000000}" name="Leavers"/>
    <tableColumn id="6" xr3:uid="{00000000-0010-0000-0100-000006000000}" name="Average_Headcount"/>
    <tableColumn id="7" xr3:uid="{00000000-0010-0000-0100-000007000000}" name="Vacancies"/>
    <tableColumn id="8" xr3:uid="{00000000-0010-0000-0100-000008000000}" name="Voluntary_Leavers"/>
    <tableColumn id="9" xr3:uid="{00000000-0010-0000-0100-000009000000}" name="Critical_Role_Leavers"/>
    <tableColumn id="10" xr3:uid="{00000000-0010-0000-0100-00000A000000}" name="Absence_Days"/>
    <tableColumn id="11" xr3:uid="{00000000-0010-0000-0100-00000B000000}" name="Available_Workdays"/>
    <tableColumn id="12" xr3:uid="{00000000-0010-0000-0100-00000C000000}" name="Training_Completion_Rate"/>
    <tableColumn id="13" xr3:uid="{00000000-0010-0000-0100-00000D000000}" name="Engagement_Score"/>
    <tableColumn id="14" xr3:uid="{00000000-0010-0000-0100-00000E000000}" name="Policy_Acknowledgement_Rate"/>
    <tableColumn id="15" xr3:uid="{00000000-0010-0000-0100-00000F000000}" name="Mandatory_Training_Completion"/>
    <tableColumn id="16" xr3:uid="{00000000-0010-0000-0100-000010000000}" name="Succession_Coverage"/>
    <tableColumn id="17" xr3:uid="{00000000-0010-0000-0100-000011000000}" name="Turnover_Rate"/>
    <tableColumn id="18" xr3:uid="{00000000-0010-0000-0100-000012000000}" name="Absence_Rate"/>
    <tableColumn id="19" xr3:uid="{00000000-0010-0000-0100-000013000000}" name="Vacancy_R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inanceTable" displayName="FinanceTable" ref="A1:M121">
  <tableColumns count="13">
    <tableColumn id="1" xr3:uid="{00000000-0010-0000-0200-000001000000}" name="Month"/>
    <tableColumn id="2" xr3:uid="{00000000-0010-0000-0200-000002000000}" name="Department"/>
    <tableColumn id="3" xr3:uid="{00000000-0010-0000-0200-000003000000}" name="Revenue_QAR"/>
    <tableColumn id="4" xr3:uid="{00000000-0010-0000-0200-000004000000}" name="Operating_Cost_Excl_Workforce_QAR"/>
    <tableColumn id="5" xr3:uid="{00000000-0010-0000-0200-000005000000}" name="Workforce_Cost_QAR"/>
    <tableColumn id="6" xr3:uid="{00000000-0010-0000-0200-000006000000}" name="Overtime_Cost_QAR"/>
    <tableColumn id="7" xr3:uid="{00000000-0010-0000-0200-000007000000}" name="Training_Cost_QAR"/>
    <tableColumn id="8" xr3:uid="{00000000-0010-0000-0200-000008000000}" name="Recruitment_Cost_QAR"/>
    <tableColumn id="9" xr3:uid="{00000000-0010-0000-0200-000009000000}" name="Turnover_Cost_QAR"/>
    <tableColumn id="10" xr3:uid="{00000000-0010-0000-0200-00000A000000}" name="Output_Index"/>
    <tableColumn id="11" xr3:uid="{00000000-0010-0000-0200-00000B000000}" name="Revenue_Per_Employee"/>
    <tableColumn id="12" xr3:uid="{00000000-0010-0000-0200-00000C000000}" name="Workforce_Cost_Ratio"/>
    <tableColumn id="13" xr3:uid="{00000000-0010-0000-0200-00000D000000}" name="Human_Capital_ROI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randTable" displayName="BrandTable" ref="A1:I121">
  <tableColumns count="9">
    <tableColumn id="1" xr3:uid="{00000000-0010-0000-0300-000001000000}" name="Month"/>
    <tableColumn id="2" xr3:uid="{00000000-0010-0000-0300-000002000000}" name="Department"/>
    <tableColumn id="3" xr3:uid="{00000000-0010-0000-0300-000003000000}" name="Offer_Acceptance_Rate"/>
    <tableColumn id="4" xr3:uid="{00000000-0010-0000-0300-000004000000}" name="Candidate_NPS"/>
    <tableColumn id="5" xr3:uid="{00000000-0010-0000-0300-000005000000}" name="Employer_Brand_Score"/>
    <tableColumn id="6" xr3:uid="{00000000-0010-0000-0300-000006000000}" name="Employee_Advocacy_Score"/>
    <tableColumn id="7" xr3:uid="{00000000-0010-0000-0300-000007000000}" name="Social_Sentiment_Score"/>
    <tableColumn id="8" xr3:uid="{00000000-0010-0000-0300-000008000000}" name="Brand_Campaign_Reach"/>
    <tableColumn id="9" xr3:uid="{00000000-0010-0000-0300-000009000000}" name="Glassdoor_Style_Ratin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ustomerOpsTable" displayName="CustomerOpsTable" ref="A1:I121">
  <tableColumns count="9">
    <tableColumn id="1" xr3:uid="{00000000-0010-0000-0400-000001000000}" name="Month"/>
    <tableColumn id="2" xr3:uid="{00000000-0010-0000-0400-000002000000}" name="Department"/>
    <tableColumn id="3" xr3:uid="{00000000-0010-0000-0400-000003000000}" name="Customer_Satisfaction"/>
    <tableColumn id="4" xr3:uid="{00000000-0010-0000-0400-000004000000}" name="Complaint_Rate"/>
    <tableColumn id="5" xr3:uid="{00000000-0010-0000-0400-000005000000}" name="SLA_Compliance"/>
    <tableColumn id="6" xr3:uid="{00000000-0010-0000-0400-000006000000}" name="Service_Backlog"/>
    <tableColumn id="7" xr3:uid="{00000000-0010-0000-0400-000007000000}" name="Quality_Incidents"/>
    <tableColumn id="8" xr3:uid="{00000000-0010-0000-0400-000008000000}" name="Response_Time_Hours"/>
    <tableColumn id="9" xr3:uid="{00000000-0010-0000-0400-000009000000}" name="Operational_Risk_Sco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orrelationTable" displayName="CorrelationTable" ref="A1:T121">
  <tableColumns count="20">
    <tableColumn id="1" xr3:uid="{00000000-0010-0000-0500-000001000000}" name="Month"/>
    <tableColumn id="2" xr3:uid="{00000000-0010-0000-0500-000002000000}" name="Department"/>
    <tableColumn id="3" xr3:uid="{00000000-0010-0000-0500-000003000000}" name="Turnover_Rate"/>
    <tableColumn id="4" xr3:uid="{00000000-0010-0000-0500-000004000000}" name="Absence_Rate"/>
    <tableColumn id="5" xr3:uid="{00000000-0010-0000-0500-000005000000}" name="Vacancy_Rate"/>
    <tableColumn id="6" xr3:uid="{00000000-0010-0000-0500-000006000000}" name="Training_Completion_Rate"/>
    <tableColumn id="7" xr3:uid="{00000000-0010-0000-0500-000007000000}" name="Engagement_Score"/>
    <tableColumn id="8" xr3:uid="{00000000-0010-0000-0500-000008000000}" name="Succession_Coverage"/>
    <tableColumn id="9" xr3:uid="{00000000-0010-0000-0500-000009000000}" name="Workforce_Cost_QAR"/>
    <tableColumn id="10" xr3:uid="{00000000-0010-0000-0500-00000A000000}" name="Revenue_QAR"/>
    <tableColumn id="11" xr3:uid="{00000000-0010-0000-0500-00000B000000}" name="Revenue_Per_Employee"/>
    <tableColumn id="12" xr3:uid="{00000000-0010-0000-0500-00000C000000}" name="Human_Capital_ROI"/>
    <tableColumn id="13" xr3:uid="{00000000-0010-0000-0500-00000D000000}" name="Employer_Brand_Score"/>
    <tableColumn id="14" xr3:uid="{00000000-0010-0000-0500-00000E000000}" name="Offer_Acceptance_Rate"/>
    <tableColumn id="15" xr3:uid="{00000000-0010-0000-0500-00000F000000}" name="Customer_Satisfaction"/>
    <tableColumn id="16" xr3:uid="{00000000-0010-0000-0500-000010000000}" name="Complaint_Rate"/>
    <tableColumn id="17" xr3:uid="{00000000-0010-0000-0500-000011000000}" name="SLA_Compliance"/>
    <tableColumn id="18" xr3:uid="{00000000-0010-0000-0500-000012000000}" name="Service_Backlog"/>
    <tableColumn id="19" xr3:uid="{00000000-0010-0000-0500-000013000000}" name="Operational_Risk_Score"/>
    <tableColumn id="20" xr3:uid="{00000000-0010-0000-0500-000014000000}" name="Composite_HC_Impact_Sco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MetricMapTable" displayName="MetricMapTable" ref="A1:F11">
  <tableColumns count="6">
    <tableColumn id="1" xr3:uid="{00000000-0010-0000-0600-000001000000}" name="Business Area"/>
    <tableColumn id="2" xr3:uid="{00000000-0010-0000-0600-000002000000}" name="Business KPI"/>
    <tableColumn id="3" xr3:uid="{00000000-0010-0000-0600-000003000000}" name="Human Capital Driver"/>
    <tableColumn id="4" xr3:uid="{00000000-0010-0000-0600-000004000000}" name="Correlation Logic"/>
    <tableColumn id="5" xr3:uid="{00000000-0010-0000-0600-000005000000}" name="Sindibad Insight Example"/>
    <tableColumn id="6" xr3:uid="{00000000-0010-0000-0600-000006000000}" name="Suggested Ac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EvidenceTable" displayName="EvidenceTable" ref="A1:H13">
  <tableColumns count="8">
    <tableColumn id="1" xr3:uid="{00000000-0010-0000-0700-000001000000}" name="ISO Area"/>
    <tableColumn id="2" xr3:uid="{00000000-0010-0000-0700-000002000000}" name="Owner"/>
    <tableColumn id="3" xr3:uid="{00000000-0010-0000-0700-000003000000}" name="Source System"/>
    <tableColumn id="4" xr3:uid="{00000000-0010-0000-0700-000004000000}" name="Evidence Required"/>
    <tableColumn id="5" xr3:uid="{00000000-0010-0000-0700-000005000000}" name="Completeness %"/>
    <tableColumn id="6" xr3:uid="{00000000-0010-0000-0700-000006000000}" name="Validation Status"/>
    <tableColumn id="7" xr3:uid="{00000000-0010-0000-0700-000007000000}" name="Risk Level"/>
    <tableColumn id="8" xr3:uid="{00000000-0010-0000-0700-000008000000}" name="Next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"/>
  <sheetViews>
    <sheetView topLeftCell="A6" zoomScaleNormal="60" zoomScaleSheetLayoutView="100" workbookViewId="0"/>
  </sheetViews>
  <sheetFormatPr defaultRowHeight="15" x14ac:dyDescent="0.2"/>
  <cols>
    <col min="1" max="26" width="16.0078125" customWidth="1"/>
  </cols>
  <sheetData>
    <row r="1" spans="1:26" x14ac:dyDescent="0.2">
      <c r="A1" s="11" t="s">
        <v>0</v>
      </c>
      <c r="B1" s="12"/>
      <c r="C1" s="12"/>
      <c r="D1" s="12"/>
      <c r="E1" s="12"/>
      <c r="F1" s="12"/>
      <c r="G1" s="12"/>
      <c r="H1" s="1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spans="1:26" x14ac:dyDescent="0.2">
      <c r="A3" s="2" t="s">
        <v>1</v>
      </c>
      <c r="B3" s="13" t="s">
        <v>2</v>
      </c>
      <c r="C3" s="13"/>
      <c r="D3" s="13"/>
      <c r="E3" s="13"/>
      <c r="F3" s="13"/>
      <c r="G3" s="13"/>
      <c r="H3" s="13"/>
    </row>
    <row r="5" spans="1:26" x14ac:dyDescent="0.2">
      <c r="A5" s="1" t="s">
        <v>3</v>
      </c>
      <c r="B5" s="1" t="s">
        <v>4</v>
      </c>
      <c r="C5" s="1" t="s">
        <v>5</v>
      </c>
    </row>
    <row r="6" spans="1:26" x14ac:dyDescent="0.2">
      <c r="A6" t="s">
        <v>6</v>
      </c>
      <c r="B6" t="s">
        <v>7</v>
      </c>
      <c r="C6" t="s">
        <v>8</v>
      </c>
    </row>
    <row r="7" spans="1:26" x14ac:dyDescent="0.2">
      <c r="A7" t="s">
        <v>9</v>
      </c>
      <c r="B7" t="s">
        <v>10</v>
      </c>
      <c r="C7" t="s">
        <v>11</v>
      </c>
    </row>
    <row r="8" spans="1:26" x14ac:dyDescent="0.2">
      <c r="A8" t="s">
        <v>12</v>
      </c>
      <c r="B8" t="s">
        <v>13</v>
      </c>
      <c r="C8" t="s">
        <v>14</v>
      </c>
    </row>
    <row r="9" spans="1:26" x14ac:dyDescent="0.2">
      <c r="A9" t="s">
        <v>15</v>
      </c>
      <c r="B9" t="s">
        <v>16</v>
      </c>
      <c r="C9" t="s">
        <v>17</v>
      </c>
    </row>
    <row r="10" spans="1:26" x14ac:dyDescent="0.2">
      <c r="A10" t="s">
        <v>18</v>
      </c>
      <c r="B10" t="s">
        <v>19</v>
      </c>
      <c r="C10" t="s">
        <v>20</v>
      </c>
    </row>
    <row r="11" spans="1:26" x14ac:dyDescent="0.2">
      <c r="A11" t="s">
        <v>21</v>
      </c>
      <c r="B11" t="s">
        <v>22</v>
      </c>
      <c r="C11" t="s">
        <v>23</v>
      </c>
    </row>
    <row r="12" spans="1:26" x14ac:dyDescent="0.2">
      <c r="A12" t="s">
        <v>24</v>
      </c>
      <c r="B12" t="s">
        <v>25</v>
      </c>
      <c r="C12" t="s">
        <v>26</v>
      </c>
    </row>
    <row r="13" spans="1:26" x14ac:dyDescent="0.2">
      <c r="A13" t="s">
        <v>27</v>
      </c>
      <c r="B13" t="s">
        <v>28</v>
      </c>
      <c r="C13" t="s">
        <v>29</v>
      </c>
    </row>
    <row r="14" spans="1:26" x14ac:dyDescent="0.2">
      <c r="A14" t="s">
        <v>30</v>
      </c>
      <c r="B14" t="s">
        <v>31</v>
      </c>
      <c r="C14" t="s">
        <v>32</v>
      </c>
    </row>
  </sheetData>
  <mergeCells count="2">
    <mergeCell ref="A1:H1"/>
    <mergeCell ref="B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zoomScaleNormal="60" zoomScaleSheetLayoutView="100" workbookViewId="0"/>
  </sheetViews>
  <sheetFormatPr defaultRowHeight="15" x14ac:dyDescent="0.2"/>
  <cols>
    <col min="1" max="26" width="16.0078125" customWidth="1"/>
  </cols>
  <sheetData>
    <row r="1" spans="1:26" ht="27.75" x14ac:dyDescent="0.2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  <c r="Z1" s="1" t="s">
        <v>58</v>
      </c>
    </row>
    <row r="2" spans="1:26" x14ac:dyDescent="0.2">
      <c r="A2" t="s">
        <v>59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 t="s">
        <v>65</v>
      </c>
      <c r="H2" t="s">
        <v>66</v>
      </c>
      <c r="I2" t="s">
        <v>67</v>
      </c>
      <c r="J2" s="3">
        <v>41423</v>
      </c>
      <c r="K2">
        <v>12.6</v>
      </c>
      <c r="L2">
        <v>37</v>
      </c>
      <c r="M2" s="4">
        <v>7200</v>
      </c>
      <c r="N2" s="4">
        <v>110602</v>
      </c>
      <c r="O2" t="s">
        <v>68</v>
      </c>
      <c r="P2" t="s">
        <v>69</v>
      </c>
      <c r="Q2">
        <v>3.55</v>
      </c>
      <c r="R2">
        <v>74</v>
      </c>
      <c r="S2">
        <v>24</v>
      </c>
      <c r="T2" t="s">
        <v>69</v>
      </c>
      <c r="U2">
        <v>0</v>
      </c>
      <c r="V2">
        <v>10</v>
      </c>
      <c r="W2" t="s">
        <v>70</v>
      </c>
      <c r="X2" t="s">
        <v>69</v>
      </c>
      <c r="Y2" t="s">
        <v>71</v>
      </c>
      <c r="Z2" t="s">
        <v>61</v>
      </c>
    </row>
    <row r="3" spans="1:26" x14ac:dyDescent="0.2">
      <c r="A3" t="s">
        <v>72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65</v>
      </c>
      <c r="H3" t="s">
        <v>78</v>
      </c>
      <c r="I3" t="s">
        <v>79</v>
      </c>
      <c r="J3" s="3">
        <v>44423</v>
      </c>
      <c r="K3">
        <v>4.4000000000000004</v>
      </c>
      <c r="L3">
        <v>26</v>
      </c>
      <c r="M3" s="4">
        <v>11800</v>
      </c>
      <c r="N3" s="4">
        <v>182950</v>
      </c>
      <c r="O3" t="s">
        <v>68</v>
      </c>
      <c r="P3" t="s">
        <v>68</v>
      </c>
      <c r="Q3">
        <v>3.2</v>
      </c>
      <c r="R3">
        <v>81</v>
      </c>
      <c r="S3">
        <v>36</v>
      </c>
      <c r="T3" t="s">
        <v>68</v>
      </c>
      <c r="U3">
        <v>5</v>
      </c>
      <c r="V3">
        <v>0</v>
      </c>
      <c r="W3" t="s">
        <v>70</v>
      </c>
      <c r="X3" t="s">
        <v>68</v>
      </c>
      <c r="Y3" t="s">
        <v>71</v>
      </c>
      <c r="Z3" t="s">
        <v>74</v>
      </c>
    </row>
    <row r="4" spans="1:26" x14ac:dyDescent="0.2">
      <c r="A4" t="s">
        <v>80</v>
      </c>
      <c r="B4" t="s">
        <v>81</v>
      </c>
      <c r="C4" t="s">
        <v>12</v>
      </c>
      <c r="D4" t="s">
        <v>82</v>
      </c>
      <c r="E4" t="s">
        <v>83</v>
      </c>
      <c r="F4" t="s">
        <v>84</v>
      </c>
      <c r="G4" t="s">
        <v>85</v>
      </c>
      <c r="H4" t="s">
        <v>66</v>
      </c>
      <c r="I4" t="s">
        <v>67</v>
      </c>
      <c r="J4" s="3">
        <v>41471</v>
      </c>
      <c r="K4">
        <v>12.5</v>
      </c>
      <c r="L4">
        <v>29</v>
      </c>
      <c r="M4" s="4">
        <v>17100</v>
      </c>
      <c r="N4" s="4">
        <v>276124</v>
      </c>
      <c r="O4" t="s">
        <v>69</v>
      </c>
      <c r="P4" t="s">
        <v>68</v>
      </c>
      <c r="Q4">
        <v>3.49</v>
      </c>
      <c r="R4">
        <v>58</v>
      </c>
      <c r="S4">
        <v>42</v>
      </c>
      <c r="T4" t="s">
        <v>69</v>
      </c>
      <c r="U4">
        <v>5</v>
      </c>
      <c r="V4">
        <v>35</v>
      </c>
      <c r="W4" t="s">
        <v>69</v>
      </c>
      <c r="X4" t="s">
        <v>68</v>
      </c>
      <c r="Y4" t="s">
        <v>86</v>
      </c>
      <c r="Z4" t="s">
        <v>12</v>
      </c>
    </row>
    <row r="5" spans="1:26" x14ac:dyDescent="0.2">
      <c r="A5" t="s">
        <v>87</v>
      </c>
      <c r="B5" t="s">
        <v>88</v>
      </c>
      <c r="C5" t="s">
        <v>89</v>
      </c>
      <c r="D5" t="s">
        <v>90</v>
      </c>
      <c r="E5" t="s">
        <v>91</v>
      </c>
      <c r="F5" t="s">
        <v>92</v>
      </c>
      <c r="G5" t="s">
        <v>65</v>
      </c>
      <c r="H5" t="s">
        <v>78</v>
      </c>
      <c r="I5" t="s">
        <v>93</v>
      </c>
      <c r="J5" s="3">
        <v>42448</v>
      </c>
      <c r="K5">
        <v>9.8000000000000007</v>
      </c>
      <c r="L5">
        <v>29</v>
      </c>
      <c r="M5" s="4">
        <v>4400</v>
      </c>
      <c r="N5" s="4">
        <v>68247</v>
      </c>
      <c r="O5" t="s">
        <v>68</v>
      </c>
      <c r="P5" t="s">
        <v>69</v>
      </c>
      <c r="Q5">
        <v>3.58</v>
      </c>
      <c r="R5">
        <v>56</v>
      </c>
      <c r="S5">
        <v>7</v>
      </c>
      <c r="T5" t="s">
        <v>69</v>
      </c>
      <c r="U5">
        <v>8</v>
      </c>
      <c r="V5">
        <v>47</v>
      </c>
      <c r="W5" t="s">
        <v>70</v>
      </c>
      <c r="X5" t="s">
        <v>69</v>
      </c>
      <c r="Y5" t="s">
        <v>86</v>
      </c>
      <c r="Z5" t="s">
        <v>89</v>
      </c>
    </row>
    <row r="6" spans="1:26" x14ac:dyDescent="0.2">
      <c r="A6" t="s">
        <v>94</v>
      </c>
      <c r="B6" t="s">
        <v>95</v>
      </c>
      <c r="C6" t="s">
        <v>96</v>
      </c>
      <c r="D6" t="s">
        <v>97</v>
      </c>
      <c r="E6" t="s">
        <v>98</v>
      </c>
      <c r="F6" t="s">
        <v>77</v>
      </c>
      <c r="G6" t="s">
        <v>65</v>
      </c>
      <c r="H6" t="s">
        <v>78</v>
      </c>
      <c r="I6" t="s">
        <v>99</v>
      </c>
      <c r="J6" s="3">
        <v>45775</v>
      </c>
      <c r="K6">
        <v>0.7</v>
      </c>
      <c r="L6">
        <v>22</v>
      </c>
      <c r="M6" s="4">
        <v>11100</v>
      </c>
      <c r="N6" s="4">
        <v>169597</v>
      </c>
      <c r="O6" t="s">
        <v>68</v>
      </c>
      <c r="P6" t="s">
        <v>69</v>
      </c>
      <c r="Q6">
        <v>3.72</v>
      </c>
      <c r="R6">
        <v>74</v>
      </c>
      <c r="S6">
        <v>25</v>
      </c>
      <c r="T6" t="s">
        <v>69</v>
      </c>
      <c r="U6">
        <v>5</v>
      </c>
      <c r="V6">
        <v>24</v>
      </c>
      <c r="W6" t="s">
        <v>70</v>
      </c>
      <c r="X6" t="s">
        <v>69</v>
      </c>
      <c r="Y6" t="s">
        <v>71</v>
      </c>
      <c r="Z6" t="s">
        <v>96</v>
      </c>
    </row>
    <row r="7" spans="1:26" x14ac:dyDescent="0.2">
      <c r="A7" t="s">
        <v>100</v>
      </c>
      <c r="B7" t="s">
        <v>101</v>
      </c>
      <c r="C7" t="s">
        <v>102</v>
      </c>
      <c r="D7" t="s">
        <v>103</v>
      </c>
      <c r="E7" t="s">
        <v>104</v>
      </c>
      <c r="F7" t="s">
        <v>92</v>
      </c>
      <c r="G7" t="s">
        <v>85</v>
      </c>
      <c r="H7" t="s">
        <v>78</v>
      </c>
      <c r="I7" t="s">
        <v>105</v>
      </c>
      <c r="J7" s="3">
        <v>41270</v>
      </c>
      <c r="K7">
        <v>13</v>
      </c>
      <c r="L7">
        <v>60</v>
      </c>
      <c r="M7" s="4">
        <v>3800</v>
      </c>
      <c r="N7" s="4">
        <v>59264</v>
      </c>
      <c r="O7" t="s">
        <v>68</v>
      </c>
      <c r="P7" t="s">
        <v>69</v>
      </c>
      <c r="Q7">
        <v>3.32</v>
      </c>
      <c r="R7">
        <v>55</v>
      </c>
      <c r="S7">
        <v>28</v>
      </c>
      <c r="T7" t="s">
        <v>69</v>
      </c>
      <c r="U7">
        <v>3</v>
      </c>
      <c r="V7">
        <v>65</v>
      </c>
      <c r="W7" t="s">
        <v>70</v>
      </c>
      <c r="X7" t="s">
        <v>68</v>
      </c>
      <c r="Y7" t="s">
        <v>86</v>
      </c>
      <c r="Z7" t="s">
        <v>102</v>
      </c>
    </row>
    <row r="8" spans="1:26" x14ac:dyDescent="0.2">
      <c r="A8" t="s">
        <v>106</v>
      </c>
      <c r="B8" t="s">
        <v>107</v>
      </c>
      <c r="C8" t="s">
        <v>108</v>
      </c>
      <c r="D8" t="s">
        <v>109</v>
      </c>
      <c r="E8" t="s">
        <v>110</v>
      </c>
      <c r="F8" t="s">
        <v>92</v>
      </c>
      <c r="G8" t="s">
        <v>65</v>
      </c>
      <c r="H8" t="s">
        <v>66</v>
      </c>
      <c r="I8" t="s">
        <v>111</v>
      </c>
      <c r="J8" s="3">
        <v>45098</v>
      </c>
      <c r="K8">
        <v>2.5</v>
      </c>
      <c r="L8">
        <v>54</v>
      </c>
      <c r="M8" s="4">
        <v>4500</v>
      </c>
      <c r="N8" s="4">
        <v>68311</v>
      </c>
      <c r="O8" t="s">
        <v>68</v>
      </c>
      <c r="P8" t="s">
        <v>69</v>
      </c>
      <c r="Q8">
        <v>3.23</v>
      </c>
      <c r="R8">
        <v>62</v>
      </c>
      <c r="S8">
        <v>17</v>
      </c>
      <c r="T8" t="s">
        <v>69</v>
      </c>
      <c r="U8">
        <v>0</v>
      </c>
      <c r="V8">
        <v>23</v>
      </c>
      <c r="W8" t="s">
        <v>70</v>
      </c>
      <c r="X8" t="s">
        <v>68</v>
      </c>
      <c r="Y8" t="s">
        <v>86</v>
      </c>
      <c r="Z8" t="s">
        <v>108</v>
      </c>
    </row>
    <row r="9" spans="1:26" x14ac:dyDescent="0.2">
      <c r="A9" t="s">
        <v>112</v>
      </c>
      <c r="B9" t="s">
        <v>113</v>
      </c>
      <c r="C9" t="s">
        <v>96</v>
      </c>
      <c r="D9" t="s">
        <v>97</v>
      </c>
      <c r="E9" t="s">
        <v>114</v>
      </c>
      <c r="F9" t="s">
        <v>84</v>
      </c>
      <c r="G9" t="s">
        <v>65</v>
      </c>
      <c r="H9" t="s">
        <v>66</v>
      </c>
      <c r="I9" t="s">
        <v>115</v>
      </c>
      <c r="J9" s="3">
        <v>43344</v>
      </c>
      <c r="K9">
        <v>7.3</v>
      </c>
      <c r="L9">
        <v>42</v>
      </c>
      <c r="M9" s="4">
        <v>22600</v>
      </c>
      <c r="N9" s="4">
        <v>372637</v>
      </c>
      <c r="O9" t="s">
        <v>69</v>
      </c>
      <c r="P9" t="s">
        <v>69</v>
      </c>
      <c r="Q9">
        <v>2.65</v>
      </c>
      <c r="R9">
        <v>63</v>
      </c>
      <c r="S9">
        <v>0</v>
      </c>
      <c r="T9" t="s">
        <v>69</v>
      </c>
      <c r="U9">
        <v>5</v>
      </c>
      <c r="V9">
        <v>0</v>
      </c>
      <c r="W9" t="s">
        <v>68</v>
      </c>
      <c r="X9" t="s">
        <v>68</v>
      </c>
      <c r="Y9" t="s">
        <v>71</v>
      </c>
      <c r="Z9" t="s">
        <v>96</v>
      </c>
    </row>
    <row r="10" spans="1:26" x14ac:dyDescent="0.2">
      <c r="A10" t="s">
        <v>116</v>
      </c>
      <c r="B10" t="s">
        <v>117</v>
      </c>
      <c r="C10" t="s">
        <v>74</v>
      </c>
      <c r="D10" t="s">
        <v>118</v>
      </c>
      <c r="E10" t="s">
        <v>119</v>
      </c>
      <c r="F10" t="s">
        <v>120</v>
      </c>
      <c r="G10" t="s">
        <v>85</v>
      </c>
      <c r="H10" t="s">
        <v>78</v>
      </c>
      <c r="I10" t="s">
        <v>121</v>
      </c>
      <c r="J10" s="3">
        <v>43747</v>
      </c>
      <c r="K10">
        <v>6.2</v>
      </c>
      <c r="L10">
        <v>28</v>
      </c>
      <c r="M10" s="4">
        <v>9100</v>
      </c>
      <c r="N10" s="4">
        <v>145925</v>
      </c>
      <c r="O10" t="s">
        <v>69</v>
      </c>
      <c r="P10" t="s">
        <v>68</v>
      </c>
      <c r="Q10">
        <v>3.39</v>
      </c>
      <c r="R10">
        <v>57</v>
      </c>
      <c r="S10">
        <v>17</v>
      </c>
      <c r="T10" t="s">
        <v>69</v>
      </c>
      <c r="U10">
        <v>6</v>
      </c>
      <c r="V10">
        <v>31</v>
      </c>
      <c r="W10" t="s">
        <v>68</v>
      </c>
      <c r="X10" t="s">
        <v>68</v>
      </c>
      <c r="Y10" t="s">
        <v>86</v>
      </c>
      <c r="Z10" t="s">
        <v>74</v>
      </c>
    </row>
    <row r="11" spans="1:26" x14ac:dyDescent="0.2">
      <c r="A11" t="s">
        <v>122</v>
      </c>
      <c r="B11" t="s">
        <v>123</v>
      </c>
      <c r="C11" t="s">
        <v>124</v>
      </c>
      <c r="D11" t="s">
        <v>125</v>
      </c>
      <c r="E11" t="s">
        <v>126</v>
      </c>
      <c r="F11" t="s">
        <v>64</v>
      </c>
      <c r="G11" t="s">
        <v>65</v>
      </c>
      <c r="H11" t="s">
        <v>78</v>
      </c>
      <c r="I11" t="s">
        <v>99</v>
      </c>
      <c r="J11" s="3">
        <v>41769</v>
      </c>
      <c r="K11">
        <v>11.7</v>
      </c>
      <c r="L11">
        <v>59</v>
      </c>
      <c r="M11" s="4">
        <v>6800</v>
      </c>
      <c r="N11" s="4">
        <v>107750</v>
      </c>
      <c r="O11" t="s">
        <v>68</v>
      </c>
      <c r="P11" t="s">
        <v>68</v>
      </c>
      <c r="Q11">
        <v>3</v>
      </c>
      <c r="R11">
        <v>52</v>
      </c>
      <c r="S11">
        <v>10</v>
      </c>
      <c r="T11" t="s">
        <v>69</v>
      </c>
      <c r="U11">
        <v>5</v>
      </c>
      <c r="V11">
        <v>1</v>
      </c>
      <c r="W11" t="s">
        <v>70</v>
      </c>
      <c r="X11" t="s">
        <v>68</v>
      </c>
      <c r="Y11" t="s">
        <v>86</v>
      </c>
      <c r="Z11" t="s">
        <v>124</v>
      </c>
    </row>
    <row r="12" spans="1:26" x14ac:dyDescent="0.2">
      <c r="A12" t="s">
        <v>127</v>
      </c>
      <c r="B12" t="s">
        <v>128</v>
      </c>
      <c r="C12" t="s">
        <v>96</v>
      </c>
      <c r="D12" t="s">
        <v>129</v>
      </c>
      <c r="E12" t="s">
        <v>130</v>
      </c>
      <c r="F12" t="s">
        <v>120</v>
      </c>
      <c r="G12" t="s">
        <v>65</v>
      </c>
      <c r="H12" t="s">
        <v>78</v>
      </c>
      <c r="I12" t="s">
        <v>93</v>
      </c>
      <c r="J12" s="3">
        <v>45679</v>
      </c>
      <c r="K12">
        <v>0.9</v>
      </c>
      <c r="L12">
        <v>38</v>
      </c>
      <c r="M12" s="4">
        <v>9500</v>
      </c>
      <c r="N12" s="4">
        <v>148956</v>
      </c>
      <c r="O12" t="s">
        <v>68</v>
      </c>
      <c r="P12" t="s">
        <v>69</v>
      </c>
      <c r="Q12">
        <v>2.09</v>
      </c>
      <c r="R12">
        <v>45</v>
      </c>
      <c r="S12">
        <v>21</v>
      </c>
      <c r="T12" t="s">
        <v>69</v>
      </c>
      <c r="U12">
        <v>0</v>
      </c>
      <c r="V12">
        <v>0</v>
      </c>
      <c r="W12" t="s">
        <v>70</v>
      </c>
      <c r="X12" t="s">
        <v>68</v>
      </c>
      <c r="Y12" t="s">
        <v>86</v>
      </c>
      <c r="Z12" t="s">
        <v>96</v>
      </c>
    </row>
    <row r="13" spans="1:26" x14ac:dyDescent="0.2">
      <c r="A13" t="s">
        <v>131</v>
      </c>
      <c r="B13" t="s">
        <v>132</v>
      </c>
      <c r="C13" t="s">
        <v>133</v>
      </c>
      <c r="D13" t="s">
        <v>134</v>
      </c>
      <c r="E13" t="s">
        <v>135</v>
      </c>
      <c r="F13" t="s">
        <v>136</v>
      </c>
      <c r="G13" t="s">
        <v>65</v>
      </c>
      <c r="H13" t="s">
        <v>78</v>
      </c>
      <c r="I13" t="s">
        <v>67</v>
      </c>
      <c r="J13" s="3">
        <v>44112</v>
      </c>
      <c r="K13">
        <v>5.2</v>
      </c>
      <c r="L13">
        <v>34</v>
      </c>
      <c r="M13" s="4">
        <v>12000</v>
      </c>
      <c r="N13" s="4">
        <v>186209</v>
      </c>
      <c r="O13" t="s">
        <v>68</v>
      </c>
      <c r="P13" t="s">
        <v>68</v>
      </c>
      <c r="Q13">
        <v>3.09</v>
      </c>
      <c r="R13">
        <v>67</v>
      </c>
      <c r="S13">
        <v>14</v>
      </c>
      <c r="T13" t="s">
        <v>69</v>
      </c>
      <c r="U13">
        <v>6</v>
      </c>
      <c r="V13">
        <v>0</v>
      </c>
      <c r="W13" t="s">
        <v>70</v>
      </c>
      <c r="X13" t="s">
        <v>68</v>
      </c>
      <c r="Y13" t="s">
        <v>71</v>
      </c>
      <c r="Z13" t="s">
        <v>133</v>
      </c>
    </row>
    <row r="14" spans="1:26" x14ac:dyDescent="0.2">
      <c r="A14" t="s">
        <v>137</v>
      </c>
      <c r="B14" t="s">
        <v>138</v>
      </c>
      <c r="C14" t="s">
        <v>74</v>
      </c>
      <c r="D14" t="s">
        <v>139</v>
      </c>
      <c r="E14" t="s">
        <v>140</v>
      </c>
      <c r="F14" t="s">
        <v>64</v>
      </c>
      <c r="G14" t="s">
        <v>65</v>
      </c>
      <c r="H14" t="s">
        <v>66</v>
      </c>
      <c r="I14" t="s">
        <v>79</v>
      </c>
      <c r="J14" s="3">
        <v>44144</v>
      </c>
      <c r="K14">
        <v>5.0999999999999996</v>
      </c>
      <c r="L14">
        <v>32</v>
      </c>
      <c r="M14" s="4">
        <v>6200</v>
      </c>
      <c r="N14" s="4">
        <v>91733</v>
      </c>
      <c r="O14" t="s">
        <v>68</v>
      </c>
      <c r="P14" t="s">
        <v>68</v>
      </c>
      <c r="Q14">
        <v>3.26</v>
      </c>
      <c r="R14">
        <v>52</v>
      </c>
      <c r="S14">
        <v>26</v>
      </c>
      <c r="T14" t="s">
        <v>69</v>
      </c>
      <c r="U14">
        <v>4</v>
      </c>
      <c r="V14">
        <v>26</v>
      </c>
      <c r="W14" t="s">
        <v>70</v>
      </c>
      <c r="X14" t="s">
        <v>68</v>
      </c>
      <c r="Y14" t="s">
        <v>86</v>
      </c>
      <c r="Z14" t="s">
        <v>74</v>
      </c>
    </row>
    <row r="15" spans="1:26" x14ac:dyDescent="0.2">
      <c r="A15" t="s">
        <v>141</v>
      </c>
      <c r="B15" t="s">
        <v>142</v>
      </c>
      <c r="C15" t="s">
        <v>143</v>
      </c>
      <c r="D15" t="s">
        <v>144</v>
      </c>
      <c r="E15" t="s">
        <v>145</v>
      </c>
      <c r="F15" t="s">
        <v>77</v>
      </c>
      <c r="G15" t="s">
        <v>65</v>
      </c>
      <c r="H15" t="s">
        <v>78</v>
      </c>
      <c r="I15" t="s">
        <v>111</v>
      </c>
      <c r="J15" s="3">
        <v>45156</v>
      </c>
      <c r="K15">
        <v>2.4</v>
      </c>
      <c r="L15">
        <v>50</v>
      </c>
      <c r="M15" s="4">
        <v>11600</v>
      </c>
      <c r="N15" s="4">
        <v>177417</v>
      </c>
      <c r="O15" t="s">
        <v>68</v>
      </c>
      <c r="P15" t="s">
        <v>69</v>
      </c>
      <c r="Q15">
        <v>2.52</v>
      </c>
      <c r="R15">
        <v>65</v>
      </c>
      <c r="S15">
        <v>18</v>
      </c>
      <c r="T15" t="s">
        <v>69</v>
      </c>
      <c r="U15">
        <v>0</v>
      </c>
      <c r="V15">
        <v>24</v>
      </c>
      <c r="W15" t="s">
        <v>70</v>
      </c>
      <c r="X15" t="s">
        <v>68</v>
      </c>
      <c r="Y15" t="s">
        <v>71</v>
      </c>
      <c r="Z15" t="s">
        <v>143</v>
      </c>
    </row>
    <row r="16" spans="1:26" x14ac:dyDescent="0.2">
      <c r="A16" t="s">
        <v>146</v>
      </c>
      <c r="B16" t="s">
        <v>147</v>
      </c>
      <c r="C16" t="s">
        <v>74</v>
      </c>
      <c r="D16" t="s">
        <v>118</v>
      </c>
      <c r="E16" t="s">
        <v>119</v>
      </c>
      <c r="F16" t="s">
        <v>120</v>
      </c>
      <c r="G16" t="s">
        <v>85</v>
      </c>
      <c r="H16" t="s">
        <v>66</v>
      </c>
      <c r="I16" t="s">
        <v>148</v>
      </c>
      <c r="J16" s="3">
        <v>42813</v>
      </c>
      <c r="K16">
        <v>8.8000000000000007</v>
      </c>
      <c r="L16">
        <v>43</v>
      </c>
      <c r="M16" s="4">
        <v>9300</v>
      </c>
      <c r="N16" s="4">
        <v>137621</v>
      </c>
      <c r="O16" t="s">
        <v>68</v>
      </c>
      <c r="P16" t="s">
        <v>69</v>
      </c>
      <c r="Q16">
        <v>2.81</v>
      </c>
      <c r="R16">
        <v>60</v>
      </c>
      <c r="S16">
        <v>30</v>
      </c>
      <c r="T16" t="s">
        <v>69</v>
      </c>
      <c r="U16">
        <v>6</v>
      </c>
      <c r="V16">
        <v>34</v>
      </c>
      <c r="W16" t="s">
        <v>70</v>
      </c>
      <c r="X16" t="s">
        <v>68</v>
      </c>
      <c r="Y16" t="s">
        <v>71</v>
      </c>
      <c r="Z16" t="s">
        <v>74</v>
      </c>
    </row>
    <row r="17" spans="1:26" x14ac:dyDescent="0.2">
      <c r="A17" t="s">
        <v>149</v>
      </c>
      <c r="B17" t="s">
        <v>150</v>
      </c>
      <c r="C17" t="s">
        <v>74</v>
      </c>
      <c r="D17" t="s">
        <v>75</v>
      </c>
      <c r="E17" t="s">
        <v>151</v>
      </c>
      <c r="F17" t="s">
        <v>84</v>
      </c>
      <c r="G17" t="s">
        <v>65</v>
      </c>
      <c r="H17" t="s">
        <v>66</v>
      </c>
      <c r="I17" t="s">
        <v>99</v>
      </c>
      <c r="J17" s="3">
        <v>42500</v>
      </c>
      <c r="K17">
        <v>9.6999999999999993</v>
      </c>
      <c r="L17">
        <v>23</v>
      </c>
      <c r="M17" s="4">
        <v>17800</v>
      </c>
      <c r="N17" s="4">
        <v>279091</v>
      </c>
      <c r="O17" t="s">
        <v>69</v>
      </c>
      <c r="P17" t="s">
        <v>68</v>
      </c>
      <c r="Q17">
        <v>3.08</v>
      </c>
      <c r="R17">
        <v>63</v>
      </c>
      <c r="S17">
        <v>18</v>
      </c>
      <c r="T17" t="s">
        <v>68</v>
      </c>
      <c r="U17">
        <v>7</v>
      </c>
      <c r="V17">
        <v>26</v>
      </c>
      <c r="W17" t="s">
        <v>68</v>
      </c>
      <c r="X17" t="s">
        <v>68</v>
      </c>
      <c r="Y17" t="s">
        <v>71</v>
      </c>
      <c r="Z17" t="s">
        <v>74</v>
      </c>
    </row>
    <row r="18" spans="1:26" x14ac:dyDescent="0.2">
      <c r="A18" t="s">
        <v>152</v>
      </c>
      <c r="B18" t="s">
        <v>153</v>
      </c>
      <c r="C18" t="s">
        <v>89</v>
      </c>
      <c r="D18" t="s">
        <v>154</v>
      </c>
      <c r="E18" t="s">
        <v>155</v>
      </c>
      <c r="F18" t="s">
        <v>120</v>
      </c>
      <c r="G18" t="s">
        <v>65</v>
      </c>
      <c r="H18" t="s">
        <v>66</v>
      </c>
      <c r="I18" t="s">
        <v>115</v>
      </c>
      <c r="J18" s="3">
        <v>41818</v>
      </c>
      <c r="K18">
        <v>11.5</v>
      </c>
      <c r="L18">
        <v>45</v>
      </c>
      <c r="M18" s="4">
        <v>7000</v>
      </c>
      <c r="N18" s="4">
        <v>113796</v>
      </c>
      <c r="O18" t="s">
        <v>69</v>
      </c>
      <c r="P18" t="s">
        <v>69</v>
      </c>
      <c r="Q18">
        <v>2.98</v>
      </c>
      <c r="R18">
        <v>55</v>
      </c>
      <c r="S18">
        <v>12</v>
      </c>
      <c r="T18" t="s">
        <v>69</v>
      </c>
      <c r="U18">
        <v>9</v>
      </c>
      <c r="V18">
        <v>59</v>
      </c>
      <c r="W18" t="s">
        <v>68</v>
      </c>
      <c r="X18" t="s">
        <v>68</v>
      </c>
      <c r="Y18" t="s">
        <v>86</v>
      </c>
      <c r="Z18" t="s">
        <v>89</v>
      </c>
    </row>
    <row r="19" spans="1:26" x14ac:dyDescent="0.2">
      <c r="A19" t="s">
        <v>156</v>
      </c>
      <c r="B19" t="s">
        <v>157</v>
      </c>
      <c r="C19" t="s">
        <v>143</v>
      </c>
      <c r="D19" t="s">
        <v>158</v>
      </c>
      <c r="E19" t="s">
        <v>159</v>
      </c>
      <c r="F19" t="s">
        <v>136</v>
      </c>
      <c r="G19" t="s">
        <v>65</v>
      </c>
      <c r="H19" t="s">
        <v>66</v>
      </c>
      <c r="I19" t="s">
        <v>67</v>
      </c>
      <c r="J19" s="3">
        <v>42306</v>
      </c>
      <c r="K19">
        <v>10.199999999999999</v>
      </c>
      <c r="L19">
        <v>52</v>
      </c>
      <c r="M19" s="4">
        <v>14800</v>
      </c>
      <c r="N19" s="4">
        <v>226599</v>
      </c>
      <c r="O19" t="s">
        <v>68</v>
      </c>
      <c r="P19" t="s">
        <v>69</v>
      </c>
      <c r="Q19">
        <v>2.97</v>
      </c>
      <c r="R19">
        <v>59</v>
      </c>
      <c r="S19">
        <v>10</v>
      </c>
      <c r="T19" t="s">
        <v>69</v>
      </c>
      <c r="U19">
        <v>8</v>
      </c>
      <c r="V19">
        <v>34</v>
      </c>
      <c r="W19" t="s">
        <v>70</v>
      </c>
      <c r="X19" t="s">
        <v>68</v>
      </c>
      <c r="Y19" t="s">
        <v>86</v>
      </c>
      <c r="Z19" t="s">
        <v>143</v>
      </c>
    </row>
    <row r="20" spans="1:26" x14ac:dyDescent="0.2">
      <c r="A20" t="s">
        <v>160</v>
      </c>
      <c r="B20" t="s">
        <v>161</v>
      </c>
      <c r="C20" t="s">
        <v>96</v>
      </c>
      <c r="D20" t="s">
        <v>162</v>
      </c>
      <c r="E20" t="s">
        <v>163</v>
      </c>
      <c r="F20" t="s">
        <v>136</v>
      </c>
      <c r="G20" t="s">
        <v>65</v>
      </c>
      <c r="H20" t="s">
        <v>78</v>
      </c>
      <c r="I20" t="s">
        <v>67</v>
      </c>
      <c r="J20" s="3">
        <v>43416</v>
      </c>
      <c r="K20">
        <v>7.1</v>
      </c>
      <c r="L20">
        <v>36</v>
      </c>
      <c r="M20" s="4">
        <v>14300</v>
      </c>
      <c r="N20" s="4">
        <v>203405</v>
      </c>
      <c r="O20" t="s">
        <v>68</v>
      </c>
      <c r="P20" t="s">
        <v>69</v>
      </c>
      <c r="Q20">
        <v>2.99</v>
      </c>
      <c r="R20">
        <v>64</v>
      </c>
      <c r="S20">
        <v>57</v>
      </c>
      <c r="T20" t="s">
        <v>69</v>
      </c>
      <c r="U20">
        <v>13</v>
      </c>
      <c r="V20">
        <v>17</v>
      </c>
      <c r="W20" t="s">
        <v>70</v>
      </c>
      <c r="X20" t="s">
        <v>68</v>
      </c>
      <c r="Y20" t="s">
        <v>71</v>
      </c>
      <c r="Z20" t="s">
        <v>96</v>
      </c>
    </row>
    <row r="21" spans="1:26" x14ac:dyDescent="0.2">
      <c r="A21" t="s">
        <v>164</v>
      </c>
      <c r="B21" t="s">
        <v>165</v>
      </c>
      <c r="C21" t="s">
        <v>102</v>
      </c>
      <c r="D21" t="s">
        <v>166</v>
      </c>
      <c r="E21" t="s">
        <v>167</v>
      </c>
      <c r="F21" t="s">
        <v>136</v>
      </c>
      <c r="G21" t="s">
        <v>65</v>
      </c>
      <c r="H21" t="s">
        <v>78</v>
      </c>
      <c r="I21" t="s">
        <v>79</v>
      </c>
      <c r="J21" s="3">
        <v>45037</v>
      </c>
      <c r="K21">
        <v>2.7</v>
      </c>
      <c r="L21">
        <v>43</v>
      </c>
      <c r="M21" s="4">
        <v>11600</v>
      </c>
      <c r="N21" s="4">
        <v>169285</v>
      </c>
      <c r="O21" t="s">
        <v>68</v>
      </c>
      <c r="P21" t="s">
        <v>69</v>
      </c>
      <c r="Q21">
        <v>3.09</v>
      </c>
      <c r="R21">
        <v>67</v>
      </c>
      <c r="S21">
        <v>23</v>
      </c>
      <c r="T21" t="s">
        <v>69</v>
      </c>
      <c r="U21">
        <v>7</v>
      </c>
      <c r="V21">
        <v>32</v>
      </c>
      <c r="W21" t="s">
        <v>70</v>
      </c>
      <c r="X21" t="s">
        <v>68</v>
      </c>
      <c r="Y21" t="s">
        <v>71</v>
      </c>
      <c r="Z21" t="s">
        <v>102</v>
      </c>
    </row>
    <row r="22" spans="1:26" x14ac:dyDescent="0.2">
      <c r="A22" t="s">
        <v>168</v>
      </c>
      <c r="B22" t="s">
        <v>169</v>
      </c>
      <c r="C22" t="s">
        <v>102</v>
      </c>
      <c r="D22" t="s">
        <v>166</v>
      </c>
      <c r="E22" t="s">
        <v>170</v>
      </c>
      <c r="F22" t="s">
        <v>77</v>
      </c>
      <c r="G22" t="s">
        <v>85</v>
      </c>
      <c r="H22" t="s">
        <v>78</v>
      </c>
      <c r="I22" t="s">
        <v>121</v>
      </c>
      <c r="J22" s="3">
        <v>41528</v>
      </c>
      <c r="K22">
        <v>12.3</v>
      </c>
      <c r="L22">
        <v>28</v>
      </c>
      <c r="M22" s="4">
        <v>8600</v>
      </c>
      <c r="N22" s="4">
        <v>122534</v>
      </c>
      <c r="O22" t="s">
        <v>68</v>
      </c>
      <c r="P22" t="s">
        <v>69</v>
      </c>
      <c r="Q22">
        <v>2.4300000000000002</v>
      </c>
      <c r="R22">
        <v>40</v>
      </c>
      <c r="S22">
        <v>31</v>
      </c>
      <c r="T22" t="s">
        <v>69</v>
      </c>
      <c r="U22">
        <v>8</v>
      </c>
      <c r="V22">
        <v>49</v>
      </c>
      <c r="W22" t="s">
        <v>70</v>
      </c>
      <c r="X22" t="s">
        <v>68</v>
      </c>
      <c r="Y22" t="s">
        <v>86</v>
      </c>
      <c r="Z22" t="s">
        <v>102</v>
      </c>
    </row>
    <row r="23" spans="1:26" x14ac:dyDescent="0.2">
      <c r="A23" t="s">
        <v>171</v>
      </c>
      <c r="B23" t="s">
        <v>172</v>
      </c>
      <c r="C23" t="s">
        <v>143</v>
      </c>
      <c r="D23" t="s">
        <v>158</v>
      </c>
      <c r="E23" t="s">
        <v>173</v>
      </c>
      <c r="F23" t="s">
        <v>174</v>
      </c>
      <c r="G23" t="s">
        <v>65</v>
      </c>
      <c r="H23" t="s">
        <v>78</v>
      </c>
      <c r="I23" t="s">
        <v>99</v>
      </c>
      <c r="J23" s="3">
        <v>43617</v>
      </c>
      <c r="K23">
        <v>6.6</v>
      </c>
      <c r="L23">
        <v>39</v>
      </c>
      <c r="M23" s="4">
        <v>22700</v>
      </c>
      <c r="N23" s="4">
        <v>360887</v>
      </c>
      <c r="O23" t="s">
        <v>69</v>
      </c>
      <c r="P23" t="s">
        <v>69</v>
      </c>
      <c r="Q23">
        <v>3.22</v>
      </c>
      <c r="R23">
        <v>64</v>
      </c>
      <c r="S23">
        <v>35</v>
      </c>
      <c r="T23" t="s">
        <v>69</v>
      </c>
      <c r="U23">
        <v>10</v>
      </c>
      <c r="V23">
        <v>10</v>
      </c>
      <c r="W23" t="s">
        <v>68</v>
      </c>
      <c r="X23" t="s">
        <v>68</v>
      </c>
      <c r="Y23" t="s">
        <v>71</v>
      </c>
      <c r="Z23" t="s">
        <v>143</v>
      </c>
    </row>
    <row r="24" spans="1:26" x14ac:dyDescent="0.2">
      <c r="A24" t="s">
        <v>175</v>
      </c>
      <c r="B24" t="s">
        <v>176</v>
      </c>
      <c r="C24" t="s">
        <v>61</v>
      </c>
      <c r="D24" t="s">
        <v>177</v>
      </c>
      <c r="E24" t="s">
        <v>178</v>
      </c>
      <c r="F24" t="s">
        <v>77</v>
      </c>
      <c r="G24" t="s">
        <v>65</v>
      </c>
      <c r="H24" t="s">
        <v>78</v>
      </c>
      <c r="I24" t="s">
        <v>99</v>
      </c>
      <c r="J24" s="3">
        <v>43459</v>
      </c>
      <c r="K24">
        <v>7</v>
      </c>
      <c r="L24">
        <v>28</v>
      </c>
      <c r="M24" s="4">
        <v>12600</v>
      </c>
      <c r="N24" s="4">
        <v>185016</v>
      </c>
      <c r="O24" t="s">
        <v>68</v>
      </c>
      <c r="P24" t="s">
        <v>68</v>
      </c>
      <c r="Q24">
        <v>2.1800000000000002</v>
      </c>
      <c r="R24">
        <v>46</v>
      </c>
      <c r="S24">
        <v>21</v>
      </c>
      <c r="T24" t="s">
        <v>69</v>
      </c>
      <c r="U24">
        <v>5</v>
      </c>
      <c r="V24">
        <v>8</v>
      </c>
      <c r="W24" t="s">
        <v>70</v>
      </c>
      <c r="X24" t="s">
        <v>68</v>
      </c>
      <c r="Y24" t="s">
        <v>86</v>
      </c>
      <c r="Z24" t="s">
        <v>61</v>
      </c>
    </row>
    <row r="25" spans="1:26" x14ac:dyDescent="0.2">
      <c r="A25" t="s">
        <v>179</v>
      </c>
      <c r="B25" t="s">
        <v>180</v>
      </c>
      <c r="C25" t="s">
        <v>89</v>
      </c>
      <c r="D25" t="s">
        <v>154</v>
      </c>
      <c r="E25" t="s">
        <v>155</v>
      </c>
      <c r="F25" t="s">
        <v>120</v>
      </c>
      <c r="G25" t="s">
        <v>65</v>
      </c>
      <c r="H25" t="s">
        <v>66</v>
      </c>
      <c r="I25" t="s">
        <v>79</v>
      </c>
      <c r="J25" s="3">
        <v>41675</v>
      </c>
      <c r="K25">
        <v>11.9</v>
      </c>
      <c r="L25">
        <v>31</v>
      </c>
      <c r="M25" s="4">
        <v>8800</v>
      </c>
      <c r="N25" s="4">
        <v>139596</v>
      </c>
      <c r="O25" t="s">
        <v>68</v>
      </c>
      <c r="P25" t="s">
        <v>69</v>
      </c>
      <c r="Q25">
        <v>2.2400000000000002</v>
      </c>
      <c r="R25">
        <v>41</v>
      </c>
      <c r="S25">
        <v>23</v>
      </c>
      <c r="T25" t="s">
        <v>69</v>
      </c>
      <c r="U25">
        <v>2</v>
      </c>
      <c r="V25">
        <v>42</v>
      </c>
      <c r="W25" t="s">
        <v>70</v>
      </c>
      <c r="X25" t="s">
        <v>68</v>
      </c>
      <c r="Y25" t="s">
        <v>86</v>
      </c>
      <c r="Z25" t="s">
        <v>89</v>
      </c>
    </row>
    <row r="26" spans="1:26" x14ac:dyDescent="0.2">
      <c r="A26" t="s">
        <v>181</v>
      </c>
      <c r="B26" t="s">
        <v>182</v>
      </c>
      <c r="C26" t="s">
        <v>102</v>
      </c>
      <c r="D26" t="s">
        <v>183</v>
      </c>
      <c r="E26" t="s">
        <v>184</v>
      </c>
      <c r="F26" t="s">
        <v>120</v>
      </c>
      <c r="G26" t="s">
        <v>65</v>
      </c>
      <c r="H26" t="s">
        <v>66</v>
      </c>
      <c r="I26" t="s">
        <v>148</v>
      </c>
      <c r="J26" s="3">
        <v>41702</v>
      </c>
      <c r="K26">
        <v>11.8</v>
      </c>
      <c r="L26">
        <v>59</v>
      </c>
      <c r="M26" s="4">
        <v>8800</v>
      </c>
      <c r="N26" s="4">
        <v>143942</v>
      </c>
      <c r="O26" t="s">
        <v>68</v>
      </c>
      <c r="P26" t="s">
        <v>69</v>
      </c>
      <c r="Q26">
        <v>2.65</v>
      </c>
      <c r="R26">
        <v>59</v>
      </c>
      <c r="S26">
        <v>19</v>
      </c>
      <c r="T26" t="s">
        <v>68</v>
      </c>
      <c r="U26">
        <v>3</v>
      </c>
      <c r="V26">
        <v>32</v>
      </c>
      <c r="W26" t="s">
        <v>70</v>
      </c>
      <c r="X26" t="s">
        <v>68</v>
      </c>
      <c r="Y26" t="s">
        <v>71</v>
      </c>
      <c r="Z26" t="s">
        <v>102</v>
      </c>
    </row>
    <row r="27" spans="1:26" x14ac:dyDescent="0.2">
      <c r="A27" t="s">
        <v>185</v>
      </c>
      <c r="B27" t="s">
        <v>186</v>
      </c>
      <c r="C27" t="s">
        <v>89</v>
      </c>
      <c r="D27" t="s">
        <v>90</v>
      </c>
      <c r="E27" t="s">
        <v>187</v>
      </c>
      <c r="F27" t="s">
        <v>120</v>
      </c>
      <c r="G27" t="s">
        <v>85</v>
      </c>
      <c r="H27" t="s">
        <v>78</v>
      </c>
      <c r="I27" t="s">
        <v>67</v>
      </c>
      <c r="J27" s="3">
        <v>44800</v>
      </c>
      <c r="K27">
        <v>3.4</v>
      </c>
      <c r="L27">
        <v>55</v>
      </c>
      <c r="M27" s="4">
        <v>8700</v>
      </c>
      <c r="N27" s="4">
        <v>140387</v>
      </c>
      <c r="O27" t="s">
        <v>68</v>
      </c>
      <c r="P27" t="s">
        <v>69</v>
      </c>
      <c r="Q27">
        <v>4</v>
      </c>
      <c r="R27">
        <v>60</v>
      </c>
      <c r="S27">
        <v>29</v>
      </c>
      <c r="T27" t="s">
        <v>69</v>
      </c>
      <c r="U27">
        <v>3</v>
      </c>
      <c r="V27">
        <v>4</v>
      </c>
      <c r="W27" t="s">
        <v>70</v>
      </c>
      <c r="X27" t="s">
        <v>69</v>
      </c>
      <c r="Y27" t="s">
        <v>71</v>
      </c>
      <c r="Z27" t="s">
        <v>89</v>
      </c>
    </row>
    <row r="28" spans="1:26" x14ac:dyDescent="0.2">
      <c r="A28" t="s">
        <v>188</v>
      </c>
      <c r="B28" t="s">
        <v>189</v>
      </c>
      <c r="C28" t="s">
        <v>74</v>
      </c>
      <c r="D28" t="s">
        <v>75</v>
      </c>
      <c r="E28" t="s">
        <v>190</v>
      </c>
      <c r="F28" t="s">
        <v>191</v>
      </c>
      <c r="G28" t="s">
        <v>85</v>
      </c>
      <c r="H28" t="s">
        <v>66</v>
      </c>
      <c r="I28" t="s">
        <v>67</v>
      </c>
      <c r="J28" s="3">
        <v>42428</v>
      </c>
      <c r="K28">
        <v>9.8000000000000007</v>
      </c>
      <c r="L28">
        <v>35</v>
      </c>
      <c r="M28" s="4">
        <v>40200</v>
      </c>
      <c r="N28" s="4">
        <v>657871</v>
      </c>
      <c r="O28" t="s">
        <v>69</v>
      </c>
      <c r="P28" t="s">
        <v>68</v>
      </c>
      <c r="Q28">
        <v>2.71</v>
      </c>
      <c r="R28">
        <v>57</v>
      </c>
      <c r="S28">
        <v>50</v>
      </c>
      <c r="T28" t="s">
        <v>69</v>
      </c>
      <c r="U28">
        <v>3</v>
      </c>
      <c r="V28">
        <v>54</v>
      </c>
      <c r="W28" t="s">
        <v>69</v>
      </c>
      <c r="X28" t="s">
        <v>68</v>
      </c>
      <c r="Y28" t="s">
        <v>86</v>
      </c>
      <c r="Z28" t="s">
        <v>74</v>
      </c>
    </row>
    <row r="29" spans="1:26" x14ac:dyDescent="0.2">
      <c r="A29" t="s">
        <v>192</v>
      </c>
      <c r="B29" t="s">
        <v>193</v>
      </c>
      <c r="C29" t="s">
        <v>108</v>
      </c>
      <c r="D29" t="s">
        <v>194</v>
      </c>
      <c r="E29" t="s">
        <v>195</v>
      </c>
      <c r="F29" t="s">
        <v>64</v>
      </c>
      <c r="G29" t="s">
        <v>85</v>
      </c>
      <c r="H29" t="s">
        <v>78</v>
      </c>
      <c r="I29" t="s">
        <v>121</v>
      </c>
      <c r="J29" s="3">
        <v>45490</v>
      </c>
      <c r="K29">
        <v>1.5</v>
      </c>
      <c r="L29">
        <v>58</v>
      </c>
      <c r="M29" s="4">
        <v>6500</v>
      </c>
      <c r="N29" s="4">
        <v>96876</v>
      </c>
      <c r="O29" t="s">
        <v>68</v>
      </c>
      <c r="P29" t="s">
        <v>69</v>
      </c>
      <c r="Q29">
        <v>2.61</v>
      </c>
      <c r="R29">
        <v>71</v>
      </c>
      <c r="S29">
        <v>12</v>
      </c>
      <c r="T29" t="s">
        <v>69</v>
      </c>
      <c r="U29">
        <v>13</v>
      </c>
      <c r="V29">
        <v>33</v>
      </c>
      <c r="W29" t="s">
        <v>70</v>
      </c>
      <c r="X29" t="s">
        <v>68</v>
      </c>
      <c r="Y29" t="s">
        <v>71</v>
      </c>
      <c r="Z29" t="s">
        <v>108</v>
      </c>
    </row>
    <row r="30" spans="1:26" x14ac:dyDescent="0.2">
      <c r="A30" t="s">
        <v>196</v>
      </c>
      <c r="B30" t="s">
        <v>128</v>
      </c>
      <c r="C30" t="s">
        <v>74</v>
      </c>
      <c r="D30" t="s">
        <v>139</v>
      </c>
      <c r="E30" t="s">
        <v>197</v>
      </c>
      <c r="F30" t="s">
        <v>120</v>
      </c>
      <c r="G30" t="s">
        <v>85</v>
      </c>
      <c r="H30" t="s">
        <v>66</v>
      </c>
      <c r="I30" t="s">
        <v>99</v>
      </c>
      <c r="J30" s="3">
        <v>45828</v>
      </c>
      <c r="K30">
        <v>0.5</v>
      </c>
      <c r="L30">
        <v>56</v>
      </c>
      <c r="M30" s="4">
        <v>8400</v>
      </c>
      <c r="N30" s="4">
        <v>129200</v>
      </c>
      <c r="O30" t="s">
        <v>68</v>
      </c>
      <c r="P30" t="s">
        <v>69</v>
      </c>
      <c r="Q30">
        <v>2.73</v>
      </c>
      <c r="R30">
        <v>55</v>
      </c>
      <c r="S30">
        <v>34</v>
      </c>
      <c r="T30" t="s">
        <v>68</v>
      </c>
      <c r="U30">
        <v>0</v>
      </c>
      <c r="V30">
        <v>25</v>
      </c>
      <c r="W30" t="s">
        <v>70</v>
      </c>
      <c r="X30" t="s">
        <v>68</v>
      </c>
      <c r="Y30" t="s">
        <v>86</v>
      </c>
      <c r="Z30" t="s">
        <v>74</v>
      </c>
    </row>
    <row r="31" spans="1:26" x14ac:dyDescent="0.2">
      <c r="A31" t="s">
        <v>198</v>
      </c>
      <c r="B31" t="s">
        <v>199</v>
      </c>
      <c r="C31" t="s">
        <v>12</v>
      </c>
      <c r="D31" t="s">
        <v>200</v>
      </c>
      <c r="E31" t="s">
        <v>201</v>
      </c>
      <c r="F31" t="s">
        <v>174</v>
      </c>
      <c r="G31" t="s">
        <v>65</v>
      </c>
      <c r="H31" t="s">
        <v>78</v>
      </c>
      <c r="I31" t="s">
        <v>67</v>
      </c>
      <c r="J31" s="3">
        <v>45924</v>
      </c>
      <c r="K31">
        <v>0.3</v>
      </c>
      <c r="L31">
        <v>60</v>
      </c>
      <c r="M31" s="4">
        <v>26700</v>
      </c>
      <c r="N31" s="4">
        <v>384973</v>
      </c>
      <c r="O31" t="s">
        <v>69</v>
      </c>
      <c r="P31" t="s">
        <v>68</v>
      </c>
      <c r="Q31">
        <v>2.94</v>
      </c>
      <c r="R31">
        <v>62</v>
      </c>
      <c r="S31">
        <v>44</v>
      </c>
      <c r="T31" t="s">
        <v>69</v>
      </c>
      <c r="U31">
        <v>0</v>
      </c>
      <c r="V31">
        <v>18</v>
      </c>
      <c r="W31" t="s">
        <v>69</v>
      </c>
      <c r="X31" t="s">
        <v>68</v>
      </c>
      <c r="Y31" t="s">
        <v>71</v>
      </c>
      <c r="Z31" t="s">
        <v>12</v>
      </c>
    </row>
    <row r="32" spans="1:26" x14ac:dyDescent="0.2">
      <c r="A32" t="s">
        <v>202</v>
      </c>
      <c r="B32" t="s">
        <v>203</v>
      </c>
      <c r="C32" t="s">
        <v>74</v>
      </c>
      <c r="D32" t="s">
        <v>75</v>
      </c>
      <c r="E32" t="s">
        <v>204</v>
      </c>
      <c r="F32" t="s">
        <v>64</v>
      </c>
      <c r="G32" t="s">
        <v>65</v>
      </c>
      <c r="H32" t="s">
        <v>78</v>
      </c>
      <c r="I32" t="s">
        <v>93</v>
      </c>
      <c r="J32" s="3">
        <v>44458</v>
      </c>
      <c r="K32">
        <v>4.3</v>
      </c>
      <c r="L32">
        <v>24</v>
      </c>
      <c r="M32" s="4">
        <v>6700</v>
      </c>
      <c r="N32" s="4">
        <v>108213</v>
      </c>
      <c r="O32" t="s">
        <v>68</v>
      </c>
      <c r="P32" t="s">
        <v>68</v>
      </c>
      <c r="Q32">
        <v>2.5</v>
      </c>
      <c r="R32">
        <v>60</v>
      </c>
      <c r="S32">
        <v>19</v>
      </c>
      <c r="T32" t="s">
        <v>69</v>
      </c>
      <c r="U32">
        <v>6</v>
      </c>
      <c r="V32">
        <v>52</v>
      </c>
      <c r="W32" t="s">
        <v>70</v>
      </c>
      <c r="X32" t="s">
        <v>68</v>
      </c>
      <c r="Y32" t="s">
        <v>86</v>
      </c>
      <c r="Z32" t="s">
        <v>74</v>
      </c>
    </row>
    <row r="33" spans="1:26" x14ac:dyDescent="0.2">
      <c r="A33" t="s">
        <v>205</v>
      </c>
      <c r="B33" t="s">
        <v>206</v>
      </c>
      <c r="C33" t="s">
        <v>143</v>
      </c>
      <c r="D33" t="s">
        <v>207</v>
      </c>
      <c r="E33" t="s">
        <v>208</v>
      </c>
      <c r="F33" t="s">
        <v>64</v>
      </c>
      <c r="G33" t="s">
        <v>65</v>
      </c>
      <c r="H33" t="s">
        <v>66</v>
      </c>
      <c r="I33" t="s">
        <v>111</v>
      </c>
      <c r="J33" s="3">
        <v>44400</v>
      </c>
      <c r="K33">
        <v>4.4000000000000004</v>
      </c>
      <c r="L33">
        <v>37</v>
      </c>
      <c r="M33" s="4">
        <v>5500</v>
      </c>
      <c r="N33" s="4">
        <v>90188</v>
      </c>
      <c r="O33" t="s">
        <v>68</v>
      </c>
      <c r="P33" t="s">
        <v>69</v>
      </c>
      <c r="Q33">
        <v>3.46</v>
      </c>
      <c r="R33">
        <v>65</v>
      </c>
      <c r="S33">
        <v>12</v>
      </c>
      <c r="T33" t="s">
        <v>69</v>
      </c>
      <c r="U33">
        <v>9</v>
      </c>
      <c r="V33">
        <v>1</v>
      </c>
      <c r="W33" t="s">
        <v>70</v>
      </c>
      <c r="X33" t="s">
        <v>68</v>
      </c>
      <c r="Y33" t="s">
        <v>71</v>
      </c>
      <c r="Z33" t="s">
        <v>143</v>
      </c>
    </row>
    <row r="34" spans="1:26" x14ac:dyDescent="0.2">
      <c r="A34" t="s">
        <v>209</v>
      </c>
      <c r="B34" t="s">
        <v>210</v>
      </c>
      <c r="C34" t="s">
        <v>74</v>
      </c>
      <c r="D34" t="s">
        <v>139</v>
      </c>
      <c r="E34" t="s">
        <v>140</v>
      </c>
      <c r="F34" t="s">
        <v>64</v>
      </c>
      <c r="G34" t="s">
        <v>65</v>
      </c>
      <c r="H34" t="s">
        <v>66</v>
      </c>
      <c r="I34" t="s">
        <v>67</v>
      </c>
      <c r="J34" s="3">
        <v>45005</v>
      </c>
      <c r="K34">
        <v>2.8</v>
      </c>
      <c r="L34">
        <v>45</v>
      </c>
      <c r="M34" s="4">
        <v>6300</v>
      </c>
      <c r="N34" s="4">
        <v>94993</v>
      </c>
      <c r="O34" t="s">
        <v>69</v>
      </c>
      <c r="P34" t="s">
        <v>68</v>
      </c>
      <c r="Q34">
        <v>3.24</v>
      </c>
      <c r="R34">
        <v>69</v>
      </c>
      <c r="S34">
        <v>30</v>
      </c>
      <c r="T34" t="s">
        <v>69</v>
      </c>
      <c r="U34">
        <v>7</v>
      </c>
      <c r="V34">
        <v>38</v>
      </c>
      <c r="W34" t="s">
        <v>68</v>
      </c>
      <c r="X34" t="s">
        <v>68</v>
      </c>
      <c r="Y34" t="s">
        <v>86</v>
      </c>
      <c r="Z34" t="s">
        <v>74</v>
      </c>
    </row>
    <row r="35" spans="1:26" x14ac:dyDescent="0.2">
      <c r="A35" t="s">
        <v>211</v>
      </c>
      <c r="B35" t="s">
        <v>212</v>
      </c>
      <c r="C35" t="s">
        <v>133</v>
      </c>
      <c r="D35" t="s">
        <v>213</v>
      </c>
      <c r="E35" t="s">
        <v>214</v>
      </c>
      <c r="F35" t="s">
        <v>191</v>
      </c>
      <c r="G35" t="s">
        <v>215</v>
      </c>
      <c r="H35" t="s">
        <v>66</v>
      </c>
      <c r="I35" t="s">
        <v>99</v>
      </c>
      <c r="J35" s="3">
        <v>45626</v>
      </c>
      <c r="K35">
        <v>1.1000000000000001</v>
      </c>
      <c r="L35">
        <v>41</v>
      </c>
      <c r="M35" s="4">
        <v>38800</v>
      </c>
      <c r="N35" s="4">
        <v>592673</v>
      </c>
      <c r="O35" t="s">
        <v>69</v>
      </c>
      <c r="P35" t="s">
        <v>69</v>
      </c>
      <c r="Q35">
        <v>3.11</v>
      </c>
      <c r="R35">
        <v>54</v>
      </c>
      <c r="S35">
        <v>38</v>
      </c>
      <c r="T35" t="s">
        <v>69</v>
      </c>
      <c r="U35">
        <v>3</v>
      </c>
      <c r="V35">
        <v>0</v>
      </c>
      <c r="W35" t="s">
        <v>69</v>
      </c>
      <c r="X35" t="s">
        <v>68</v>
      </c>
      <c r="Y35" t="s">
        <v>71</v>
      </c>
      <c r="Z35" t="s">
        <v>133</v>
      </c>
    </row>
    <row r="36" spans="1:26" x14ac:dyDescent="0.2">
      <c r="A36" t="s">
        <v>216</v>
      </c>
      <c r="B36" t="s">
        <v>217</v>
      </c>
      <c r="C36" t="s">
        <v>61</v>
      </c>
      <c r="D36" t="s">
        <v>218</v>
      </c>
      <c r="E36" t="s">
        <v>219</v>
      </c>
      <c r="F36" t="s">
        <v>64</v>
      </c>
      <c r="G36" t="s">
        <v>215</v>
      </c>
      <c r="H36" t="s">
        <v>78</v>
      </c>
      <c r="I36" t="s">
        <v>148</v>
      </c>
      <c r="J36" s="3">
        <v>44234</v>
      </c>
      <c r="K36">
        <v>4.9000000000000004</v>
      </c>
      <c r="L36">
        <v>58</v>
      </c>
      <c r="M36" s="4">
        <v>6900</v>
      </c>
      <c r="N36" s="4">
        <v>103493</v>
      </c>
      <c r="O36" t="s">
        <v>68</v>
      </c>
      <c r="P36" t="s">
        <v>68</v>
      </c>
      <c r="Q36">
        <v>3.18</v>
      </c>
      <c r="R36">
        <v>63</v>
      </c>
      <c r="S36">
        <v>38</v>
      </c>
      <c r="T36" t="s">
        <v>69</v>
      </c>
      <c r="U36">
        <v>3</v>
      </c>
      <c r="V36">
        <v>20</v>
      </c>
      <c r="W36" t="s">
        <v>70</v>
      </c>
      <c r="X36" t="s">
        <v>68</v>
      </c>
      <c r="Y36" t="s">
        <v>86</v>
      </c>
      <c r="Z36" t="s">
        <v>61</v>
      </c>
    </row>
    <row r="37" spans="1:26" x14ac:dyDescent="0.2">
      <c r="A37" t="s">
        <v>220</v>
      </c>
      <c r="B37" t="s">
        <v>221</v>
      </c>
      <c r="C37" t="s">
        <v>108</v>
      </c>
      <c r="D37" t="s">
        <v>222</v>
      </c>
      <c r="E37" t="s">
        <v>223</v>
      </c>
      <c r="F37" t="s">
        <v>92</v>
      </c>
      <c r="G37" t="s">
        <v>65</v>
      </c>
      <c r="H37" t="s">
        <v>78</v>
      </c>
      <c r="I37" t="s">
        <v>93</v>
      </c>
      <c r="J37" s="3">
        <v>43291</v>
      </c>
      <c r="K37">
        <v>7.5</v>
      </c>
      <c r="L37">
        <v>26</v>
      </c>
      <c r="M37" s="4">
        <v>3600</v>
      </c>
      <c r="N37" s="4">
        <v>51457</v>
      </c>
      <c r="O37" t="s">
        <v>68</v>
      </c>
      <c r="P37" t="s">
        <v>69</v>
      </c>
      <c r="Q37">
        <v>3.77</v>
      </c>
      <c r="R37">
        <v>72</v>
      </c>
      <c r="S37">
        <v>23</v>
      </c>
      <c r="T37" t="s">
        <v>69</v>
      </c>
      <c r="U37">
        <v>4</v>
      </c>
      <c r="V37">
        <v>34</v>
      </c>
      <c r="W37" t="s">
        <v>70</v>
      </c>
      <c r="X37" t="s">
        <v>69</v>
      </c>
      <c r="Y37" t="s">
        <v>71</v>
      </c>
      <c r="Z37" t="s">
        <v>108</v>
      </c>
    </row>
    <row r="38" spans="1:26" x14ac:dyDescent="0.2">
      <c r="A38" t="s">
        <v>224</v>
      </c>
      <c r="B38" t="s">
        <v>225</v>
      </c>
      <c r="C38" t="s">
        <v>143</v>
      </c>
      <c r="D38" t="s">
        <v>144</v>
      </c>
      <c r="E38" t="s">
        <v>226</v>
      </c>
      <c r="F38" t="s">
        <v>174</v>
      </c>
      <c r="G38" t="s">
        <v>227</v>
      </c>
      <c r="H38" t="s">
        <v>66</v>
      </c>
      <c r="I38" t="s">
        <v>99</v>
      </c>
      <c r="J38" s="3">
        <v>41985</v>
      </c>
      <c r="K38">
        <v>11.1</v>
      </c>
      <c r="L38">
        <v>26</v>
      </c>
      <c r="M38" s="4">
        <v>29200</v>
      </c>
      <c r="N38" s="4">
        <v>459021</v>
      </c>
      <c r="O38" t="s">
        <v>69</v>
      </c>
      <c r="P38" t="s">
        <v>69</v>
      </c>
      <c r="Q38">
        <v>2.78</v>
      </c>
      <c r="R38">
        <v>65</v>
      </c>
      <c r="S38">
        <v>17</v>
      </c>
      <c r="T38" t="s">
        <v>69</v>
      </c>
      <c r="U38">
        <v>0</v>
      </c>
      <c r="V38">
        <v>31</v>
      </c>
      <c r="W38" t="s">
        <v>69</v>
      </c>
      <c r="X38" t="s">
        <v>68</v>
      </c>
      <c r="Y38" t="s">
        <v>71</v>
      </c>
      <c r="Z38" t="s">
        <v>143</v>
      </c>
    </row>
    <row r="39" spans="1:26" x14ac:dyDescent="0.2">
      <c r="A39" t="s">
        <v>228</v>
      </c>
      <c r="B39" t="s">
        <v>229</v>
      </c>
      <c r="C39" t="s">
        <v>89</v>
      </c>
      <c r="D39" t="s">
        <v>230</v>
      </c>
      <c r="E39" t="s">
        <v>231</v>
      </c>
      <c r="F39" t="s">
        <v>64</v>
      </c>
      <c r="G39" t="s">
        <v>65</v>
      </c>
      <c r="H39" t="s">
        <v>78</v>
      </c>
      <c r="I39" t="s">
        <v>148</v>
      </c>
      <c r="J39" s="3">
        <v>43018</v>
      </c>
      <c r="K39">
        <v>8.1999999999999993</v>
      </c>
      <c r="L39">
        <v>30</v>
      </c>
      <c r="M39" s="4">
        <v>5700</v>
      </c>
      <c r="N39" s="4">
        <v>94259</v>
      </c>
      <c r="O39" t="s">
        <v>68</v>
      </c>
      <c r="P39" t="s">
        <v>69</v>
      </c>
      <c r="Q39">
        <v>2.79</v>
      </c>
      <c r="R39">
        <v>51</v>
      </c>
      <c r="S39">
        <v>3</v>
      </c>
      <c r="T39" t="s">
        <v>69</v>
      </c>
      <c r="U39">
        <v>8</v>
      </c>
      <c r="V39">
        <v>18</v>
      </c>
      <c r="W39" t="s">
        <v>70</v>
      </c>
      <c r="X39" t="s">
        <v>68</v>
      </c>
      <c r="Y39" t="s">
        <v>86</v>
      </c>
      <c r="Z39" t="s">
        <v>89</v>
      </c>
    </row>
    <row r="40" spans="1:26" x14ac:dyDescent="0.2">
      <c r="A40" t="s">
        <v>232</v>
      </c>
      <c r="B40" t="s">
        <v>233</v>
      </c>
      <c r="C40" t="s">
        <v>96</v>
      </c>
      <c r="D40" t="s">
        <v>234</v>
      </c>
      <c r="E40" t="s">
        <v>235</v>
      </c>
      <c r="F40" t="s">
        <v>77</v>
      </c>
      <c r="G40" t="s">
        <v>65</v>
      </c>
      <c r="H40" t="s">
        <v>78</v>
      </c>
      <c r="I40" t="s">
        <v>236</v>
      </c>
      <c r="J40" s="3">
        <v>44563</v>
      </c>
      <c r="K40">
        <v>4</v>
      </c>
      <c r="L40">
        <v>53</v>
      </c>
      <c r="M40" s="4">
        <v>9800</v>
      </c>
      <c r="N40" s="4">
        <v>152837</v>
      </c>
      <c r="O40" t="s">
        <v>69</v>
      </c>
      <c r="P40" t="s">
        <v>69</v>
      </c>
      <c r="Q40">
        <v>2.87</v>
      </c>
      <c r="R40">
        <v>65</v>
      </c>
      <c r="S40">
        <v>16</v>
      </c>
      <c r="T40" t="s">
        <v>69</v>
      </c>
      <c r="U40">
        <v>0</v>
      </c>
      <c r="V40">
        <v>0</v>
      </c>
      <c r="W40" t="s">
        <v>68</v>
      </c>
      <c r="X40" t="s">
        <v>68</v>
      </c>
      <c r="Y40" t="s">
        <v>71</v>
      </c>
      <c r="Z40" t="s">
        <v>96</v>
      </c>
    </row>
    <row r="41" spans="1:26" x14ac:dyDescent="0.2">
      <c r="A41" t="s">
        <v>237</v>
      </c>
      <c r="B41" t="s">
        <v>238</v>
      </c>
      <c r="C41" t="s">
        <v>89</v>
      </c>
      <c r="D41" t="s">
        <v>239</v>
      </c>
      <c r="E41" t="s">
        <v>240</v>
      </c>
      <c r="F41" t="s">
        <v>92</v>
      </c>
      <c r="G41" t="s">
        <v>65</v>
      </c>
      <c r="H41" t="s">
        <v>66</v>
      </c>
      <c r="I41" t="s">
        <v>99</v>
      </c>
      <c r="J41" s="3">
        <v>43261</v>
      </c>
      <c r="K41">
        <v>7.6</v>
      </c>
      <c r="L41">
        <v>36</v>
      </c>
      <c r="M41" s="4">
        <v>4500</v>
      </c>
      <c r="N41" s="4">
        <v>73601</v>
      </c>
      <c r="O41" t="s">
        <v>68</v>
      </c>
      <c r="P41" t="s">
        <v>69</v>
      </c>
      <c r="Q41">
        <v>2.5499999999999998</v>
      </c>
      <c r="R41">
        <v>63</v>
      </c>
      <c r="S41">
        <v>35</v>
      </c>
      <c r="T41" t="s">
        <v>69</v>
      </c>
      <c r="U41">
        <v>8</v>
      </c>
      <c r="V41">
        <v>50</v>
      </c>
      <c r="W41" t="s">
        <v>70</v>
      </c>
      <c r="X41" t="s">
        <v>68</v>
      </c>
      <c r="Y41" t="s">
        <v>86</v>
      </c>
      <c r="Z41" t="s">
        <v>89</v>
      </c>
    </row>
    <row r="42" spans="1:26" x14ac:dyDescent="0.2">
      <c r="A42" t="s">
        <v>241</v>
      </c>
      <c r="B42" t="s">
        <v>242</v>
      </c>
      <c r="C42" t="s">
        <v>124</v>
      </c>
      <c r="D42" t="s">
        <v>243</v>
      </c>
      <c r="E42" t="s">
        <v>244</v>
      </c>
      <c r="F42" t="s">
        <v>92</v>
      </c>
      <c r="G42" t="s">
        <v>65</v>
      </c>
      <c r="H42" t="s">
        <v>78</v>
      </c>
      <c r="I42" t="s">
        <v>121</v>
      </c>
      <c r="J42" s="3">
        <v>43602</v>
      </c>
      <c r="K42">
        <v>6.6</v>
      </c>
      <c r="L42">
        <v>38</v>
      </c>
      <c r="M42" s="4">
        <v>4000</v>
      </c>
      <c r="N42" s="4">
        <v>62758</v>
      </c>
      <c r="O42" t="s">
        <v>68</v>
      </c>
      <c r="P42" t="s">
        <v>69</v>
      </c>
      <c r="Q42">
        <v>3.03</v>
      </c>
      <c r="R42">
        <v>68</v>
      </c>
      <c r="S42">
        <v>14</v>
      </c>
      <c r="T42" t="s">
        <v>69</v>
      </c>
      <c r="U42">
        <v>10</v>
      </c>
      <c r="V42">
        <v>29</v>
      </c>
      <c r="W42" t="s">
        <v>70</v>
      </c>
      <c r="X42" t="s">
        <v>68</v>
      </c>
      <c r="Y42" t="s">
        <v>71</v>
      </c>
      <c r="Z42" t="s">
        <v>124</v>
      </c>
    </row>
    <row r="43" spans="1:26" x14ac:dyDescent="0.2">
      <c r="A43" t="s">
        <v>245</v>
      </c>
      <c r="B43" t="s">
        <v>246</v>
      </c>
      <c r="C43" t="s">
        <v>96</v>
      </c>
      <c r="D43" t="s">
        <v>234</v>
      </c>
      <c r="E43" t="s">
        <v>247</v>
      </c>
      <c r="F43" t="s">
        <v>92</v>
      </c>
      <c r="G43" t="s">
        <v>65</v>
      </c>
      <c r="H43" t="s">
        <v>66</v>
      </c>
      <c r="I43" t="s">
        <v>99</v>
      </c>
      <c r="J43" s="3">
        <v>41534</v>
      </c>
      <c r="K43">
        <v>12.3</v>
      </c>
      <c r="L43">
        <v>27</v>
      </c>
      <c r="M43" s="4">
        <v>4100</v>
      </c>
      <c r="N43" s="4">
        <v>64027</v>
      </c>
      <c r="O43" t="s">
        <v>68</v>
      </c>
      <c r="P43" t="s">
        <v>69</v>
      </c>
      <c r="Q43">
        <v>3.19</v>
      </c>
      <c r="R43">
        <v>61</v>
      </c>
      <c r="S43">
        <v>34</v>
      </c>
      <c r="T43" t="s">
        <v>69</v>
      </c>
      <c r="U43">
        <v>11</v>
      </c>
      <c r="V43">
        <v>0</v>
      </c>
      <c r="W43" t="s">
        <v>70</v>
      </c>
      <c r="X43" t="s">
        <v>68</v>
      </c>
      <c r="Y43" t="s">
        <v>71</v>
      </c>
      <c r="Z43" t="s">
        <v>96</v>
      </c>
    </row>
    <row r="44" spans="1:26" x14ac:dyDescent="0.2">
      <c r="A44" t="s">
        <v>248</v>
      </c>
      <c r="B44" t="s">
        <v>186</v>
      </c>
      <c r="C44" t="s">
        <v>12</v>
      </c>
      <c r="D44" t="s">
        <v>249</v>
      </c>
      <c r="E44" t="s">
        <v>250</v>
      </c>
      <c r="F44" t="s">
        <v>174</v>
      </c>
      <c r="G44" t="s">
        <v>65</v>
      </c>
      <c r="H44" t="s">
        <v>66</v>
      </c>
      <c r="I44" t="s">
        <v>67</v>
      </c>
      <c r="J44" s="3">
        <v>41973</v>
      </c>
      <c r="K44">
        <v>11.1</v>
      </c>
      <c r="L44">
        <v>26</v>
      </c>
      <c r="M44" s="4">
        <v>25700</v>
      </c>
      <c r="N44" s="4">
        <v>416982</v>
      </c>
      <c r="O44" t="s">
        <v>69</v>
      </c>
      <c r="P44" t="s">
        <v>68</v>
      </c>
      <c r="Q44">
        <v>3.52</v>
      </c>
      <c r="R44">
        <v>65</v>
      </c>
      <c r="S44">
        <v>47</v>
      </c>
      <c r="T44" t="s">
        <v>69</v>
      </c>
      <c r="U44">
        <v>1</v>
      </c>
      <c r="V44">
        <v>0</v>
      </c>
      <c r="W44" t="s">
        <v>69</v>
      </c>
      <c r="X44" t="s">
        <v>69</v>
      </c>
      <c r="Y44" t="s">
        <v>71</v>
      </c>
      <c r="Z44" t="s">
        <v>12</v>
      </c>
    </row>
    <row r="45" spans="1:26" x14ac:dyDescent="0.2">
      <c r="A45" t="s">
        <v>251</v>
      </c>
      <c r="B45" t="s">
        <v>252</v>
      </c>
      <c r="C45" t="s">
        <v>89</v>
      </c>
      <c r="D45" t="s">
        <v>90</v>
      </c>
      <c r="E45" t="s">
        <v>253</v>
      </c>
      <c r="F45" t="s">
        <v>64</v>
      </c>
      <c r="G45" t="s">
        <v>65</v>
      </c>
      <c r="H45" t="s">
        <v>78</v>
      </c>
      <c r="I45" t="s">
        <v>67</v>
      </c>
      <c r="J45" s="3">
        <v>41589</v>
      </c>
      <c r="K45">
        <v>12.1</v>
      </c>
      <c r="L45">
        <v>40</v>
      </c>
      <c r="M45" s="4">
        <v>5700</v>
      </c>
      <c r="N45" s="4">
        <v>84579</v>
      </c>
      <c r="O45" t="s">
        <v>68</v>
      </c>
      <c r="P45" t="s">
        <v>69</v>
      </c>
      <c r="Q45">
        <v>3.2</v>
      </c>
      <c r="R45">
        <v>57</v>
      </c>
      <c r="S45">
        <v>21</v>
      </c>
      <c r="T45" t="s">
        <v>69</v>
      </c>
      <c r="U45">
        <v>5</v>
      </c>
      <c r="V45">
        <v>39</v>
      </c>
      <c r="W45" t="s">
        <v>70</v>
      </c>
      <c r="X45" t="s">
        <v>68</v>
      </c>
      <c r="Y45" t="s">
        <v>86</v>
      </c>
      <c r="Z45" t="s">
        <v>89</v>
      </c>
    </row>
    <row r="46" spans="1:26" x14ac:dyDescent="0.2">
      <c r="A46" t="s">
        <v>254</v>
      </c>
      <c r="B46" t="s">
        <v>255</v>
      </c>
      <c r="C46" t="s">
        <v>74</v>
      </c>
      <c r="D46" t="s">
        <v>118</v>
      </c>
      <c r="E46" t="s">
        <v>119</v>
      </c>
      <c r="F46" t="s">
        <v>120</v>
      </c>
      <c r="G46" t="s">
        <v>65</v>
      </c>
      <c r="H46" t="s">
        <v>78</v>
      </c>
      <c r="I46" t="s">
        <v>79</v>
      </c>
      <c r="J46" s="3">
        <v>42664</v>
      </c>
      <c r="K46">
        <v>9.1999999999999993</v>
      </c>
      <c r="L46">
        <v>31</v>
      </c>
      <c r="M46" s="4">
        <v>6400</v>
      </c>
      <c r="N46" s="4">
        <v>99870</v>
      </c>
      <c r="O46" t="s">
        <v>68</v>
      </c>
      <c r="P46" t="s">
        <v>68</v>
      </c>
      <c r="Q46">
        <v>2.86</v>
      </c>
      <c r="R46">
        <v>54</v>
      </c>
      <c r="S46">
        <v>14</v>
      </c>
      <c r="T46" t="s">
        <v>69</v>
      </c>
      <c r="U46">
        <v>10</v>
      </c>
      <c r="V46">
        <v>36</v>
      </c>
      <c r="W46" t="s">
        <v>70</v>
      </c>
      <c r="X46" t="s">
        <v>68</v>
      </c>
      <c r="Y46" t="s">
        <v>86</v>
      </c>
      <c r="Z46" t="s">
        <v>74</v>
      </c>
    </row>
    <row r="47" spans="1:26" x14ac:dyDescent="0.2">
      <c r="A47" t="s">
        <v>256</v>
      </c>
      <c r="B47" t="s">
        <v>257</v>
      </c>
      <c r="C47" t="s">
        <v>133</v>
      </c>
      <c r="D47" t="s">
        <v>15</v>
      </c>
      <c r="E47" t="s">
        <v>258</v>
      </c>
      <c r="F47" t="s">
        <v>136</v>
      </c>
      <c r="G47" t="s">
        <v>85</v>
      </c>
      <c r="H47" t="s">
        <v>66</v>
      </c>
      <c r="I47" t="s">
        <v>111</v>
      </c>
      <c r="J47" s="3">
        <v>43613</v>
      </c>
      <c r="K47">
        <v>6.6</v>
      </c>
      <c r="L47">
        <v>42</v>
      </c>
      <c r="M47" s="4">
        <v>15000</v>
      </c>
      <c r="N47" s="4">
        <v>220504</v>
      </c>
      <c r="O47" t="s">
        <v>68</v>
      </c>
      <c r="P47" t="s">
        <v>68</v>
      </c>
      <c r="Q47">
        <v>2.73</v>
      </c>
      <c r="R47">
        <v>67</v>
      </c>
      <c r="S47">
        <v>15</v>
      </c>
      <c r="T47" t="s">
        <v>69</v>
      </c>
      <c r="U47">
        <v>0</v>
      </c>
      <c r="V47">
        <v>0</v>
      </c>
      <c r="W47" t="s">
        <v>70</v>
      </c>
      <c r="X47" t="s">
        <v>68</v>
      </c>
      <c r="Y47" t="s">
        <v>71</v>
      </c>
      <c r="Z47" t="s">
        <v>133</v>
      </c>
    </row>
    <row r="48" spans="1:26" x14ac:dyDescent="0.2">
      <c r="A48" t="s">
        <v>259</v>
      </c>
      <c r="B48" t="s">
        <v>260</v>
      </c>
      <c r="C48" t="s">
        <v>89</v>
      </c>
      <c r="D48" t="s">
        <v>239</v>
      </c>
      <c r="E48" t="s">
        <v>261</v>
      </c>
      <c r="F48" t="s">
        <v>64</v>
      </c>
      <c r="G48" t="s">
        <v>65</v>
      </c>
      <c r="H48" t="s">
        <v>78</v>
      </c>
      <c r="I48" t="s">
        <v>99</v>
      </c>
      <c r="J48" s="3">
        <v>42740</v>
      </c>
      <c r="K48">
        <v>9</v>
      </c>
      <c r="L48">
        <v>34</v>
      </c>
      <c r="M48" s="4">
        <v>4800</v>
      </c>
      <c r="N48" s="4">
        <v>72072</v>
      </c>
      <c r="O48" t="s">
        <v>68</v>
      </c>
      <c r="P48" t="s">
        <v>69</v>
      </c>
      <c r="Q48">
        <v>2.76</v>
      </c>
      <c r="R48">
        <v>62</v>
      </c>
      <c r="S48">
        <v>13</v>
      </c>
      <c r="T48" t="s">
        <v>68</v>
      </c>
      <c r="U48">
        <v>0</v>
      </c>
      <c r="V48">
        <v>17</v>
      </c>
      <c r="W48" t="s">
        <v>70</v>
      </c>
      <c r="X48" t="s">
        <v>68</v>
      </c>
      <c r="Y48" t="s">
        <v>86</v>
      </c>
      <c r="Z48" t="s">
        <v>89</v>
      </c>
    </row>
    <row r="49" spans="1:26" x14ac:dyDescent="0.2">
      <c r="A49" t="s">
        <v>262</v>
      </c>
      <c r="B49" t="s">
        <v>263</v>
      </c>
      <c r="C49" t="s">
        <v>108</v>
      </c>
      <c r="D49" t="s">
        <v>109</v>
      </c>
      <c r="E49" t="s">
        <v>264</v>
      </c>
      <c r="F49" t="s">
        <v>64</v>
      </c>
      <c r="G49" t="s">
        <v>85</v>
      </c>
      <c r="H49" t="s">
        <v>78</v>
      </c>
      <c r="I49" t="s">
        <v>115</v>
      </c>
      <c r="J49" s="3">
        <v>43720</v>
      </c>
      <c r="K49">
        <v>6.3</v>
      </c>
      <c r="L49">
        <v>49</v>
      </c>
      <c r="M49" s="4">
        <v>5500</v>
      </c>
      <c r="N49" s="4">
        <v>83248</v>
      </c>
      <c r="O49" t="s">
        <v>68</v>
      </c>
      <c r="P49" t="s">
        <v>69</v>
      </c>
      <c r="Q49">
        <v>2.34</v>
      </c>
      <c r="R49">
        <v>73</v>
      </c>
      <c r="S49">
        <v>29</v>
      </c>
      <c r="T49" t="s">
        <v>69</v>
      </c>
      <c r="U49">
        <v>4</v>
      </c>
      <c r="V49">
        <v>29</v>
      </c>
      <c r="W49" t="s">
        <v>70</v>
      </c>
      <c r="X49" t="s">
        <v>68</v>
      </c>
      <c r="Y49" t="s">
        <v>71</v>
      </c>
      <c r="Z49" t="s">
        <v>108</v>
      </c>
    </row>
    <row r="50" spans="1:26" x14ac:dyDescent="0.2">
      <c r="A50" t="s">
        <v>265</v>
      </c>
      <c r="B50" t="s">
        <v>266</v>
      </c>
      <c r="C50" t="s">
        <v>108</v>
      </c>
      <c r="D50" t="s">
        <v>109</v>
      </c>
      <c r="E50" t="s">
        <v>110</v>
      </c>
      <c r="F50" t="s">
        <v>92</v>
      </c>
      <c r="G50" t="s">
        <v>65</v>
      </c>
      <c r="H50" t="s">
        <v>66</v>
      </c>
      <c r="I50" t="s">
        <v>67</v>
      </c>
      <c r="J50" s="3">
        <v>45621</v>
      </c>
      <c r="K50">
        <v>1.1000000000000001</v>
      </c>
      <c r="L50">
        <v>32</v>
      </c>
      <c r="M50" s="4">
        <v>5100</v>
      </c>
      <c r="N50" s="4">
        <v>74285</v>
      </c>
      <c r="O50" t="s">
        <v>68</v>
      </c>
      <c r="P50" t="s">
        <v>69</v>
      </c>
      <c r="Q50">
        <v>2.83</v>
      </c>
      <c r="R50">
        <v>63</v>
      </c>
      <c r="S50">
        <v>37</v>
      </c>
      <c r="T50" t="s">
        <v>69</v>
      </c>
      <c r="U50">
        <v>3</v>
      </c>
      <c r="V50">
        <v>0</v>
      </c>
      <c r="W50" t="s">
        <v>70</v>
      </c>
      <c r="X50" t="s">
        <v>68</v>
      </c>
      <c r="Y50" t="s">
        <v>71</v>
      </c>
      <c r="Z50" t="s">
        <v>108</v>
      </c>
    </row>
    <row r="51" spans="1:26" x14ac:dyDescent="0.2">
      <c r="A51" t="s">
        <v>267</v>
      </c>
      <c r="B51" t="s">
        <v>268</v>
      </c>
      <c r="C51" t="s">
        <v>89</v>
      </c>
      <c r="D51" t="s">
        <v>90</v>
      </c>
      <c r="E51" t="s">
        <v>187</v>
      </c>
      <c r="F51" t="s">
        <v>120</v>
      </c>
      <c r="G51" t="s">
        <v>65</v>
      </c>
      <c r="H51" t="s">
        <v>66</v>
      </c>
      <c r="I51" t="s">
        <v>236</v>
      </c>
      <c r="J51" s="3">
        <v>40934</v>
      </c>
      <c r="K51">
        <v>13.9</v>
      </c>
      <c r="L51">
        <v>30</v>
      </c>
      <c r="M51" s="4">
        <v>7000</v>
      </c>
      <c r="N51" s="4">
        <v>100588</v>
      </c>
      <c r="O51" t="s">
        <v>68</v>
      </c>
      <c r="P51" t="s">
        <v>69</v>
      </c>
      <c r="Q51">
        <v>2.66</v>
      </c>
      <c r="R51">
        <v>69</v>
      </c>
      <c r="S51">
        <v>28</v>
      </c>
      <c r="T51" t="s">
        <v>68</v>
      </c>
      <c r="U51">
        <v>4</v>
      </c>
      <c r="V51">
        <v>47</v>
      </c>
      <c r="W51" t="s">
        <v>70</v>
      </c>
      <c r="X51" t="s">
        <v>68</v>
      </c>
      <c r="Y51" t="s">
        <v>71</v>
      </c>
      <c r="Z51" t="s">
        <v>89</v>
      </c>
    </row>
    <row r="52" spans="1:26" x14ac:dyDescent="0.2">
      <c r="A52" t="s">
        <v>269</v>
      </c>
      <c r="B52" t="s">
        <v>270</v>
      </c>
      <c r="C52" t="s">
        <v>96</v>
      </c>
      <c r="D52" t="s">
        <v>129</v>
      </c>
      <c r="E52" t="s">
        <v>271</v>
      </c>
      <c r="F52" t="s">
        <v>92</v>
      </c>
      <c r="G52" t="s">
        <v>215</v>
      </c>
      <c r="H52" t="s">
        <v>66</v>
      </c>
      <c r="I52" t="s">
        <v>99</v>
      </c>
      <c r="J52" s="3">
        <v>41870</v>
      </c>
      <c r="K52">
        <v>11.4</v>
      </c>
      <c r="L52">
        <v>37</v>
      </c>
      <c r="M52" s="4">
        <v>3700</v>
      </c>
      <c r="N52" s="4">
        <v>58644</v>
      </c>
      <c r="O52" t="s">
        <v>68</v>
      </c>
      <c r="P52" t="s">
        <v>69</v>
      </c>
      <c r="Q52">
        <v>3.43</v>
      </c>
      <c r="R52">
        <v>62</v>
      </c>
      <c r="S52">
        <v>39</v>
      </c>
      <c r="T52" t="s">
        <v>69</v>
      </c>
      <c r="U52">
        <v>5</v>
      </c>
      <c r="V52">
        <v>30</v>
      </c>
      <c r="W52" t="s">
        <v>70</v>
      </c>
      <c r="X52" t="s">
        <v>68</v>
      </c>
      <c r="Y52" t="s">
        <v>86</v>
      </c>
      <c r="Z52" t="s">
        <v>96</v>
      </c>
    </row>
    <row r="53" spans="1:26" x14ac:dyDescent="0.2">
      <c r="A53" t="s">
        <v>272</v>
      </c>
      <c r="B53" t="s">
        <v>273</v>
      </c>
      <c r="C53" t="s">
        <v>108</v>
      </c>
      <c r="D53" t="s">
        <v>109</v>
      </c>
      <c r="E53" t="s">
        <v>110</v>
      </c>
      <c r="F53" t="s">
        <v>92</v>
      </c>
      <c r="G53" t="s">
        <v>65</v>
      </c>
      <c r="H53" t="s">
        <v>78</v>
      </c>
      <c r="I53" t="s">
        <v>67</v>
      </c>
      <c r="J53" s="3">
        <v>41354</v>
      </c>
      <c r="K53">
        <v>12.8</v>
      </c>
      <c r="L53">
        <v>27</v>
      </c>
      <c r="M53" s="4">
        <v>3500</v>
      </c>
      <c r="N53" s="4">
        <v>54460</v>
      </c>
      <c r="O53" t="s">
        <v>68</v>
      </c>
      <c r="P53" t="s">
        <v>69</v>
      </c>
      <c r="Q53">
        <v>3.8</v>
      </c>
      <c r="R53">
        <v>72</v>
      </c>
      <c r="S53">
        <v>13</v>
      </c>
      <c r="T53" t="s">
        <v>69</v>
      </c>
      <c r="U53">
        <v>3</v>
      </c>
      <c r="V53">
        <v>32</v>
      </c>
      <c r="W53" t="s">
        <v>70</v>
      </c>
      <c r="X53" t="s">
        <v>69</v>
      </c>
      <c r="Y53" t="s">
        <v>71</v>
      </c>
      <c r="Z53" t="s">
        <v>108</v>
      </c>
    </row>
    <row r="54" spans="1:26" x14ac:dyDescent="0.2">
      <c r="A54" t="s">
        <v>274</v>
      </c>
      <c r="B54" t="s">
        <v>275</v>
      </c>
      <c r="C54" t="s">
        <v>108</v>
      </c>
      <c r="D54" t="s">
        <v>222</v>
      </c>
      <c r="E54" t="s">
        <v>276</v>
      </c>
      <c r="F54" t="s">
        <v>120</v>
      </c>
      <c r="G54" t="s">
        <v>85</v>
      </c>
      <c r="H54" t="s">
        <v>66</v>
      </c>
      <c r="I54" t="s">
        <v>67</v>
      </c>
      <c r="J54" s="3">
        <v>43923</v>
      </c>
      <c r="K54">
        <v>5.8</v>
      </c>
      <c r="L54">
        <v>24</v>
      </c>
      <c r="M54" s="4">
        <v>9800</v>
      </c>
      <c r="N54" s="4">
        <v>158321</v>
      </c>
      <c r="O54" t="s">
        <v>68</v>
      </c>
      <c r="P54" t="s">
        <v>69</v>
      </c>
      <c r="Q54">
        <v>3.17</v>
      </c>
      <c r="R54">
        <v>80</v>
      </c>
      <c r="S54">
        <v>27</v>
      </c>
      <c r="T54" t="s">
        <v>69</v>
      </c>
      <c r="U54">
        <v>0</v>
      </c>
      <c r="V54">
        <v>60</v>
      </c>
      <c r="W54" t="s">
        <v>70</v>
      </c>
      <c r="X54" t="s">
        <v>68</v>
      </c>
      <c r="Y54" t="s">
        <v>71</v>
      </c>
      <c r="Z54" t="s">
        <v>108</v>
      </c>
    </row>
    <row r="55" spans="1:26" x14ac:dyDescent="0.2">
      <c r="A55" t="s">
        <v>277</v>
      </c>
      <c r="B55" t="s">
        <v>278</v>
      </c>
      <c r="C55" t="s">
        <v>102</v>
      </c>
      <c r="D55" t="s">
        <v>103</v>
      </c>
      <c r="E55" t="s">
        <v>279</v>
      </c>
      <c r="F55" t="s">
        <v>64</v>
      </c>
      <c r="G55" t="s">
        <v>65</v>
      </c>
      <c r="H55" t="s">
        <v>66</v>
      </c>
      <c r="I55" t="s">
        <v>115</v>
      </c>
      <c r="J55" s="3">
        <v>43056</v>
      </c>
      <c r="K55">
        <v>8.1</v>
      </c>
      <c r="L55">
        <v>32</v>
      </c>
      <c r="M55" s="4">
        <v>8600</v>
      </c>
      <c r="N55" s="4">
        <v>129418</v>
      </c>
      <c r="O55" t="s">
        <v>68</v>
      </c>
      <c r="P55" t="s">
        <v>69</v>
      </c>
      <c r="Q55">
        <v>3.25</v>
      </c>
      <c r="R55">
        <v>59</v>
      </c>
      <c r="S55">
        <v>23</v>
      </c>
      <c r="T55" t="s">
        <v>69</v>
      </c>
      <c r="U55">
        <v>4</v>
      </c>
      <c r="V55">
        <v>46</v>
      </c>
      <c r="W55" t="s">
        <v>70</v>
      </c>
      <c r="X55" t="s">
        <v>68</v>
      </c>
      <c r="Y55" t="s">
        <v>86</v>
      </c>
      <c r="Z55" t="s">
        <v>102</v>
      </c>
    </row>
    <row r="56" spans="1:26" x14ac:dyDescent="0.2">
      <c r="A56" t="s">
        <v>280</v>
      </c>
      <c r="B56" t="s">
        <v>281</v>
      </c>
      <c r="C56" t="s">
        <v>74</v>
      </c>
      <c r="D56" t="s">
        <v>139</v>
      </c>
      <c r="E56" t="s">
        <v>140</v>
      </c>
      <c r="F56" t="s">
        <v>64</v>
      </c>
      <c r="G56" t="s">
        <v>65</v>
      </c>
      <c r="H56" t="s">
        <v>66</v>
      </c>
      <c r="I56" t="s">
        <v>148</v>
      </c>
      <c r="J56" s="3">
        <v>45458</v>
      </c>
      <c r="K56">
        <v>1.5</v>
      </c>
      <c r="L56">
        <v>59</v>
      </c>
      <c r="M56" s="4">
        <v>6100</v>
      </c>
      <c r="N56" s="4">
        <v>90407</v>
      </c>
      <c r="O56" t="s">
        <v>68</v>
      </c>
      <c r="P56" t="s">
        <v>69</v>
      </c>
      <c r="Q56">
        <v>2.66</v>
      </c>
      <c r="R56">
        <v>77</v>
      </c>
      <c r="S56">
        <v>20</v>
      </c>
      <c r="T56" t="s">
        <v>69</v>
      </c>
      <c r="U56">
        <v>8</v>
      </c>
      <c r="V56">
        <v>7</v>
      </c>
      <c r="W56" t="s">
        <v>70</v>
      </c>
      <c r="X56" t="s">
        <v>68</v>
      </c>
      <c r="Y56" t="s">
        <v>71</v>
      </c>
      <c r="Z56" t="s">
        <v>74</v>
      </c>
    </row>
    <row r="57" spans="1:26" x14ac:dyDescent="0.2">
      <c r="A57" t="s">
        <v>282</v>
      </c>
      <c r="B57" t="s">
        <v>283</v>
      </c>
      <c r="C57" t="s">
        <v>96</v>
      </c>
      <c r="D57" t="s">
        <v>97</v>
      </c>
      <c r="E57" t="s">
        <v>284</v>
      </c>
      <c r="F57" t="s">
        <v>136</v>
      </c>
      <c r="G57" t="s">
        <v>65</v>
      </c>
      <c r="H57" t="s">
        <v>78</v>
      </c>
      <c r="I57" t="s">
        <v>99</v>
      </c>
      <c r="J57" s="3">
        <v>44840</v>
      </c>
      <c r="K57">
        <v>3.2</v>
      </c>
      <c r="L57">
        <v>59</v>
      </c>
      <c r="M57" s="4">
        <v>17500</v>
      </c>
      <c r="N57" s="4">
        <v>270570</v>
      </c>
      <c r="O57" t="s">
        <v>68</v>
      </c>
      <c r="P57" t="s">
        <v>69</v>
      </c>
      <c r="Q57">
        <v>3</v>
      </c>
      <c r="R57">
        <v>64</v>
      </c>
      <c r="S57">
        <v>9</v>
      </c>
      <c r="T57" t="s">
        <v>69</v>
      </c>
      <c r="U57">
        <v>6</v>
      </c>
      <c r="V57">
        <v>0</v>
      </c>
      <c r="W57" t="s">
        <v>70</v>
      </c>
      <c r="X57" t="s">
        <v>68</v>
      </c>
      <c r="Y57" t="s">
        <v>71</v>
      </c>
      <c r="Z57" t="s">
        <v>96</v>
      </c>
    </row>
    <row r="58" spans="1:26" x14ac:dyDescent="0.2">
      <c r="A58" t="s">
        <v>285</v>
      </c>
      <c r="B58" t="s">
        <v>286</v>
      </c>
      <c r="C58" t="s">
        <v>133</v>
      </c>
      <c r="D58" t="s">
        <v>287</v>
      </c>
      <c r="E58" t="s">
        <v>288</v>
      </c>
      <c r="F58" t="s">
        <v>64</v>
      </c>
      <c r="G58" t="s">
        <v>215</v>
      </c>
      <c r="H58" t="s">
        <v>78</v>
      </c>
      <c r="I58" t="s">
        <v>99</v>
      </c>
      <c r="J58" s="3">
        <v>45425</v>
      </c>
      <c r="K58">
        <v>1.6</v>
      </c>
      <c r="L58">
        <v>33</v>
      </c>
      <c r="M58" s="4">
        <v>6700</v>
      </c>
      <c r="N58" s="4">
        <v>98191</v>
      </c>
      <c r="O58" t="s">
        <v>68</v>
      </c>
      <c r="P58" t="s">
        <v>68</v>
      </c>
      <c r="Q58">
        <v>3.81</v>
      </c>
      <c r="R58">
        <v>73</v>
      </c>
      <c r="S58">
        <v>7</v>
      </c>
      <c r="T58" t="s">
        <v>69</v>
      </c>
      <c r="U58">
        <v>0</v>
      </c>
      <c r="V58">
        <v>11</v>
      </c>
      <c r="W58" t="s">
        <v>70</v>
      </c>
      <c r="X58" t="s">
        <v>69</v>
      </c>
      <c r="Y58" t="s">
        <v>71</v>
      </c>
      <c r="Z58" t="s">
        <v>133</v>
      </c>
    </row>
    <row r="59" spans="1:26" x14ac:dyDescent="0.2">
      <c r="A59" t="s">
        <v>289</v>
      </c>
      <c r="B59" t="s">
        <v>290</v>
      </c>
      <c r="C59" t="s">
        <v>74</v>
      </c>
      <c r="D59" t="s">
        <v>118</v>
      </c>
      <c r="E59" t="s">
        <v>119</v>
      </c>
      <c r="F59" t="s">
        <v>120</v>
      </c>
      <c r="G59" t="s">
        <v>65</v>
      </c>
      <c r="H59" t="s">
        <v>66</v>
      </c>
      <c r="I59" t="s">
        <v>111</v>
      </c>
      <c r="J59" s="3">
        <v>43988</v>
      </c>
      <c r="K59">
        <v>5.6</v>
      </c>
      <c r="L59">
        <v>56</v>
      </c>
      <c r="M59" s="4">
        <v>7400</v>
      </c>
      <c r="N59" s="4">
        <v>120364</v>
      </c>
      <c r="O59" t="s">
        <v>68</v>
      </c>
      <c r="P59" t="s">
        <v>68</v>
      </c>
      <c r="Q59">
        <v>2.99</v>
      </c>
      <c r="R59">
        <v>65</v>
      </c>
      <c r="S59">
        <v>27</v>
      </c>
      <c r="T59" t="s">
        <v>69</v>
      </c>
      <c r="U59">
        <v>4</v>
      </c>
      <c r="V59">
        <v>43</v>
      </c>
      <c r="W59" t="s">
        <v>70</v>
      </c>
      <c r="X59" t="s">
        <v>68</v>
      </c>
      <c r="Y59" t="s">
        <v>71</v>
      </c>
      <c r="Z59" t="s">
        <v>74</v>
      </c>
    </row>
    <row r="60" spans="1:26" x14ac:dyDescent="0.2">
      <c r="A60" t="s">
        <v>291</v>
      </c>
      <c r="B60" t="s">
        <v>292</v>
      </c>
      <c r="C60" t="s">
        <v>108</v>
      </c>
      <c r="D60" t="s">
        <v>194</v>
      </c>
      <c r="E60" t="s">
        <v>293</v>
      </c>
      <c r="F60" t="s">
        <v>92</v>
      </c>
      <c r="G60" t="s">
        <v>65</v>
      </c>
      <c r="H60" t="s">
        <v>78</v>
      </c>
      <c r="I60" t="s">
        <v>148</v>
      </c>
      <c r="J60" s="3">
        <v>45984</v>
      </c>
      <c r="K60">
        <v>0.1</v>
      </c>
      <c r="L60">
        <v>50</v>
      </c>
      <c r="M60" s="4">
        <v>4500</v>
      </c>
      <c r="N60" s="4">
        <v>64646</v>
      </c>
      <c r="O60" t="s">
        <v>68</v>
      </c>
      <c r="P60" t="s">
        <v>69</v>
      </c>
      <c r="Q60">
        <v>3.69</v>
      </c>
      <c r="R60">
        <v>76</v>
      </c>
      <c r="S60">
        <v>10</v>
      </c>
      <c r="T60" t="s">
        <v>68</v>
      </c>
      <c r="U60">
        <v>9</v>
      </c>
      <c r="V60">
        <v>19</v>
      </c>
      <c r="W60" t="s">
        <v>70</v>
      </c>
      <c r="X60" t="s">
        <v>69</v>
      </c>
      <c r="Y60" t="s">
        <v>71</v>
      </c>
      <c r="Z60" t="s">
        <v>108</v>
      </c>
    </row>
    <row r="61" spans="1:26" x14ac:dyDescent="0.2">
      <c r="A61" t="s">
        <v>294</v>
      </c>
      <c r="B61" t="s">
        <v>295</v>
      </c>
      <c r="C61" t="s">
        <v>108</v>
      </c>
      <c r="D61" t="s">
        <v>194</v>
      </c>
      <c r="E61" t="s">
        <v>296</v>
      </c>
      <c r="F61" t="s">
        <v>120</v>
      </c>
      <c r="G61" t="s">
        <v>65</v>
      </c>
      <c r="H61" t="s">
        <v>66</v>
      </c>
      <c r="I61" t="s">
        <v>148</v>
      </c>
      <c r="J61" s="3">
        <v>44802</v>
      </c>
      <c r="K61">
        <v>3.3</v>
      </c>
      <c r="L61">
        <v>57</v>
      </c>
      <c r="M61" s="4">
        <v>10300</v>
      </c>
      <c r="N61" s="4">
        <v>155279</v>
      </c>
      <c r="O61" t="s">
        <v>68</v>
      </c>
      <c r="P61" t="s">
        <v>69</v>
      </c>
      <c r="Q61">
        <v>3.75</v>
      </c>
      <c r="R61">
        <v>78</v>
      </c>
      <c r="S61">
        <v>25</v>
      </c>
      <c r="T61" t="s">
        <v>69</v>
      </c>
      <c r="U61">
        <v>0</v>
      </c>
      <c r="V61">
        <v>40</v>
      </c>
      <c r="W61" t="s">
        <v>70</v>
      </c>
      <c r="X61" t="s">
        <v>69</v>
      </c>
      <c r="Y61" t="s">
        <v>71</v>
      </c>
      <c r="Z61" t="s">
        <v>108</v>
      </c>
    </row>
    <row r="62" spans="1:26" x14ac:dyDescent="0.2">
      <c r="A62" t="s">
        <v>297</v>
      </c>
      <c r="B62" t="s">
        <v>298</v>
      </c>
      <c r="C62" t="s">
        <v>89</v>
      </c>
      <c r="D62" t="s">
        <v>90</v>
      </c>
      <c r="E62" t="s">
        <v>253</v>
      </c>
      <c r="F62" t="s">
        <v>64</v>
      </c>
      <c r="G62" t="s">
        <v>65</v>
      </c>
      <c r="H62" t="s">
        <v>66</v>
      </c>
      <c r="I62" t="s">
        <v>67</v>
      </c>
      <c r="J62" s="3">
        <v>42725</v>
      </c>
      <c r="K62">
        <v>9</v>
      </c>
      <c r="L62">
        <v>43</v>
      </c>
      <c r="M62" s="4">
        <v>6900</v>
      </c>
      <c r="N62" s="4">
        <v>106973</v>
      </c>
      <c r="O62" t="s">
        <v>69</v>
      </c>
      <c r="P62" t="s">
        <v>69</v>
      </c>
      <c r="Q62">
        <v>3.54</v>
      </c>
      <c r="R62">
        <v>71</v>
      </c>
      <c r="S62">
        <v>30</v>
      </c>
      <c r="T62" t="s">
        <v>69</v>
      </c>
      <c r="U62">
        <v>13</v>
      </c>
      <c r="V62">
        <v>0</v>
      </c>
      <c r="W62" t="s">
        <v>69</v>
      </c>
      <c r="X62" t="s">
        <v>69</v>
      </c>
      <c r="Y62" t="s">
        <v>71</v>
      </c>
      <c r="Z62" t="s">
        <v>89</v>
      </c>
    </row>
    <row r="63" spans="1:26" x14ac:dyDescent="0.2">
      <c r="A63" t="s">
        <v>299</v>
      </c>
      <c r="B63" t="s">
        <v>300</v>
      </c>
      <c r="C63" t="s">
        <v>102</v>
      </c>
      <c r="D63" t="s">
        <v>183</v>
      </c>
      <c r="E63" t="s">
        <v>184</v>
      </c>
      <c r="F63" t="s">
        <v>120</v>
      </c>
      <c r="G63" t="s">
        <v>85</v>
      </c>
      <c r="H63" t="s">
        <v>78</v>
      </c>
      <c r="I63" t="s">
        <v>67</v>
      </c>
      <c r="J63" s="3">
        <v>43974</v>
      </c>
      <c r="K63">
        <v>5.6</v>
      </c>
      <c r="L63">
        <v>32</v>
      </c>
      <c r="M63" s="4">
        <v>10100</v>
      </c>
      <c r="N63" s="4">
        <v>148537</v>
      </c>
      <c r="O63" t="s">
        <v>68</v>
      </c>
      <c r="P63" t="s">
        <v>69</v>
      </c>
      <c r="Q63">
        <v>2.95</v>
      </c>
      <c r="R63">
        <v>49</v>
      </c>
      <c r="S63">
        <v>31</v>
      </c>
      <c r="T63" t="s">
        <v>69</v>
      </c>
      <c r="U63">
        <v>11</v>
      </c>
      <c r="V63">
        <v>50</v>
      </c>
      <c r="W63" t="s">
        <v>70</v>
      </c>
      <c r="X63" t="s">
        <v>68</v>
      </c>
      <c r="Y63" t="s">
        <v>86</v>
      </c>
      <c r="Z63" t="s">
        <v>102</v>
      </c>
    </row>
    <row r="64" spans="1:26" x14ac:dyDescent="0.2">
      <c r="A64" t="s">
        <v>301</v>
      </c>
      <c r="B64" t="s">
        <v>302</v>
      </c>
      <c r="C64" t="s">
        <v>12</v>
      </c>
      <c r="D64" t="s">
        <v>200</v>
      </c>
      <c r="E64" t="s">
        <v>201</v>
      </c>
      <c r="F64" t="s">
        <v>174</v>
      </c>
      <c r="G64" t="s">
        <v>65</v>
      </c>
      <c r="H64" t="s">
        <v>66</v>
      </c>
      <c r="I64" t="s">
        <v>236</v>
      </c>
      <c r="J64" s="3">
        <v>43412</v>
      </c>
      <c r="K64">
        <v>7.2</v>
      </c>
      <c r="L64">
        <v>58</v>
      </c>
      <c r="M64" s="4">
        <v>23300</v>
      </c>
      <c r="N64" s="4">
        <v>368300</v>
      </c>
      <c r="O64" t="s">
        <v>69</v>
      </c>
      <c r="P64" t="s">
        <v>69</v>
      </c>
      <c r="Q64">
        <v>2.95</v>
      </c>
      <c r="R64">
        <v>71</v>
      </c>
      <c r="S64">
        <v>37</v>
      </c>
      <c r="T64" t="s">
        <v>69</v>
      </c>
      <c r="U64">
        <v>1</v>
      </c>
      <c r="V64">
        <v>0</v>
      </c>
      <c r="W64" t="s">
        <v>69</v>
      </c>
      <c r="X64" t="s">
        <v>68</v>
      </c>
      <c r="Y64" t="s">
        <v>71</v>
      </c>
      <c r="Z64" t="s">
        <v>12</v>
      </c>
    </row>
    <row r="65" spans="1:26" x14ac:dyDescent="0.2">
      <c r="A65" t="s">
        <v>303</v>
      </c>
      <c r="B65" t="s">
        <v>304</v>
      </c>
      <c r="C65" t="s">
        <v>96</v>
      </c>
      <c r="D65" t="s">
        <v>234</v>
      </c>
      <c r="E65" t="s">
        <v>235</v>
      </c>
      <c r="F65" t="s">
        <v>77</v>
      </c>
      <c r="G65" t="s">
        <v>85</v>
      </c>
      <c r="H65" t="s">
        <v>66</v>
      </c>
      <c r="I65" t="s">
        <v>111</v>
      </c>
      <c r="J65" s="3">
        <v>43480</v>
      </c>
      <c r="K65">
        <v>7</v>
      </c>
      <c r="L65">
        <v>29</v>
      </c>
      <c r="M65" s="4">
        <v>9800</v>
      </c>
      <c r="N65" s="4">
        <v>145698</v>
      </c>
      <c r="O65" t="s">
        <v>68</v>
      </c>
      <c r="P65" t="s">
        <v>69</v>
      </c>
      <c r="Q65">
        <v>3.43</v>
      </c>
      <c r="R65">
        <v>61</v>
      </c>
      <c r="S65">
        <v>19</v>
      </c>
      <c r="T65" t="s">
        <v>69</v>
      </c>
      <c r="U65">
        <v>9</v>
      </c>
      <c r="V65">
        <v>0</v>
      </c>
      <c r="W65" t="s">
        <v>70</v>
      </c>
      <c r="X65" t="s">
        <v>68</v>
      </c>
      <c r="Y65" t="s">
        <v>71</v>
      </c>
      <c r="Z65" t="s">
        <v>96</v>
      </c>
    </row>
    <row r="66" spans="1:26" x14ac:dyDescent="0.2">
      <c r="A66" t="s">
        <v>305</v>
      </c>
      <c r="B66" t="s">
        <v>306</v>
      </c>
      <c r="C66" t="s">
        <v>74</v>
      </c>
      <c r="D66" t="s">
        <v>75</v>
      </c>
      <c r="E66" t="s">
        <v>307</v>
      </c>
      <c r="F66" t="s">
        <v>120</v>
      </c>
      <c r="G66" t="s">
        <v>85</v>
      </c>
      <c r="H66" t="s">
        <v>66</v>
      </c>
      <c r="I66" t="s">
        <v>67</v>
      </c>
      <c r="J66" s="3">
        <v>45003</v>
      </c>
      <c r="K66">
        <v>2.8</v>
      </c>
      <c r="L66">
        <v>38</v>
      </c>
      <c r="M66" s="4">
        <v>9300</v>
      </c>
      <c r="N66" s="4">
        <v>151747</v>
      </c>
      <c r="O66" t="s">
        <v>68</v>
      </c>
      <c r="P66" t="s">
        <v>68</v>
      </c>
      <c r="Q66">
        <v>3.28</v>
      </c>
      <c r="R66">
        <v>62</v>
      </c>
      <c r="S66">
        <v>0</v>
      </c>
      <c r="T66" t="s">
        <v>69</v>
      </c>
      <c r="U66">
        <v>1</v>
      </c>
      <c r="V66">
        <v>22</v>
      </c>
      <c r="W66" t="s">
        <v>70</v>
      </c>
      <c r="X66" t="s">
        <v>68</v>
      </c>
      <c r="Y66" t="s">
        <v>71</v>
      </c>
      <c r="Z66" t="s">
        <v>74</v>
      </c>
    </row>
    <row r="67" spans="1:26" x14ac:dyDescent="0.2">
      <c r="A67" t="s">
        <v>308</v>
      </c>
      <c r="B67" t="s">
        <v>309</v>
      </c>
      <c r="C67" t="s">
        <v>108</v>
      </c>
      <c r="D67" t="s">
        <v>109</v>
      </c>
      <c r="E67" t="s">
        <v>310</v>
      </c>
      <c r="F67" t="s">
        <v>84</v>
      </c>
      <c r="G67" t="s">
        <v>215</v>
      </c>
      <c r="H67" t="s">
        <v>66</v>
      </c>
      <c r="I67" t="s">
        <v>99</v>
      </c>
      <c r="J67" s="3">
        <v>42781</v>
      </c>
      <c r="K67">
        <v>8.9</v>
      </c>
      <c r="L67">
        <v>40</v>
      </c>
      <c r="M67" s="4">
        <v>20100</v>
      </c>
      <c r="N67" s="4">
        <v>289535</v>
      </c>
      <c r="O67" t="s">
        <v>69</v>
      </c>
      <c r="P67" t="s">
        <v>69</v>
      </c>
      <c r="Q67">
        <v>3.07</v>
      </c>
      <c r="R67">
        <v>72</v>
      </c>
      <c r="S67">
        <v>49</v>
      </c>
      <c r="T67" t="s">
        <v>69</v>
      </c>
      <c r="U67">
        <v>10</v>
      </c>
      <c r="V67">
        <v>19</v>
      </c>
      <c r="W67" t="s">
        <v>69</v>
      </c>
      <c r="X67" t="s">
        <v>68</v>
      </c>
      <c r="Y67" t="s">
        <v>71</v>
      </c>
      <c r="Z67" t="s">
        <v>108</v>
      </c>
    </row>
    <row r="68" spans="1:26" x14ac:dyDescent="0.2">
      <c r="A68" t="s">
        <v>311</v>
      </c>
      <c r="B68" t="s">
        <v>312</v>
      </c>
      <c r="C68" t="s">
        <v>74</v>
      </c>
      <c r="D68" t="s">
        <v>313</v>
      </c>
      <c r="E68" t="s">
        <v>314</v>
      </c>
      <c r="F68" t="s">
        <v>174</v>
      </c>
      <c r="G68" t="s">
        <v>65</v>
      </c>
      <c r="H68" t="s">
        <v>66</v>
      </c>
      <c r="I68" t="s">
        <v>115</v>
      </c>
      <c r="J68" s="3">
        <v>41977</v>
      </c>
      <c r="K68">
        <v>11.1</v>
      </c>
      <c r="L68">
        <v>23</v>
      </c>
      <c r="M68" s="4">
        <v>22300</v>
      </c>
      <c r="N68" s="4">
        <v>353441</v>
      </c>
      <c r="O68" t="s">
        <v>69</v>
      </c>
      <c r="P68" t="s">
        <v>68</v>
      </c>
      <c r="Q68">
        <v>2.0299999999999998</v>
      </c>
      <c r="R68">
        <v>50</v>
      </c>
      <c r="S68">
        <v>29</v>
      </c>
      <c r="T68" t="s">
        <v>69</v>
      </c>
      <c r="U68">
        <v>0</v>
      </c>
      <c r="V68">
        <v>41</v>
      </c>
      <c r="W68" t="s">
        <v>68</v>
      </c>
      <c r="X68" t="s">
        <v>68</v>
      </c>
      <c r="Y68" t="s">
        <v>86</v>
      </c>
      <c r="Z68" t="s">
        <v>74</v>
      </c>
    </row>
    <row r="69" spans="1:26" x14ac:dyDescent="0.2">
      <c r="A69" t="s">
        <v>315</v>
      </c>
      <c r="B69" t="s">
        <v>316</v>
      </c>
      <c r="C69" t="s">
        <v>96</v>
      </c>
      <c r="D69" t="s">
        <v>234</v>
      </c>
      <c r="E69" t="s">
        <v>235</v>
      </c>
      <c r="F69" t="s">
        <v>77</v>
      </c>
      <c r="G69" t="s">
        <v>215</v>
      </c>
      <c r="H69" t="s">
        <v>78</v>
      </c>
      <c r="I69" t="s">
        <v>115</v>
      </c>
      <c r="J69" s="3">
        <v>44282</v>
      </c>
      <c r="K69">
        <v>4.8</v>
      </c>
      <c r="L69">
        <v>29</v>
      </c>
      <c r="M69" s="4">
        <v>10300</v>
      </c>
      <c r="N69" s="4">
        <v>159012</v>
      </c>
      <c r="O69" t="s">
        <v>68</v>
      </c>
      <c r="P69" t="s">
        <v>69</v>
      </c>
      <c r="Q69">
        <v>3.61</v>
      </c>
      <c r="R69">
        <v>55</v>
      </c>
      <c r="S69">
        <v>14</v>
      </c>
      <c r="T69" t="s">
        <v>69</v>
      </c>
      <c r="U69">
        <v>8</v>
      </c>
      <c r="V69">
        <v>10</v>
      </c>
      <c r="W69" t="s">
        <v>70</v>
      </c>
      <c r="X69" t="s">
        <v>69</v>
      </c>
      <c r="Y69" t="s">
        <v>71</v>
      </c>
      <c r="Z69" t="s">
        <v>96</v>
      </c>
    </row>
    <row r="70" spans="1:26" x14ac:dyDescent="0.2">
      <c r="A70" t="s">
        <v>317</v>
      </c>
      <c r="B70" t="s">
        <v>318</v>
      </c>
      <c r="C70" t="s">
        <v>133</v>
      </c>
      <c r="D70" t="s">
        <v>213</v>
      </c>
      <c r="E70" t="s">
        <v>319</v>
      </c>
      <c r="F70" t="s">
        <v>92</v>
      </c>
      <c r="G70" t="s">
        <v>65</v>
      </c>
      <c r="H70" t="s">
        <v>66</v>
      </c>
      <c r="I70" t="s">
        <v>148</v>
      </c>
      <c r="J70" s="3">
        <v>45563</v>
      </c>
      <c r="K70">
        <v>1.3</v>
      </c>
      <c r="L70">
        <v>59</v>
      </c>
      <c r="M70" s="4">
        <v>5200</v>
      </c>
      <c r="N70" s="4">
        <v>84262</v>
      </c>
      <c r="O70" t="s">
        <v>68</v>
      </c>
      <c r="P70" t="s">
        <v>68</v>
      </c>
      <c r="Q70">
        <v>2.71</v>
      </c>
      <c r="R70">
        <v>60</v>
      </c>
      <c r="S70">
        <v>25</v>
      </c>
      <c r="T70" t="s">
        <v>69</v>
      </c>
      <c r="U70">
        <v>3</v>
      </c>
      <c r="V70">
        <v>2</v>
      </c>
      <c r="W70" t="s">
        <v>70</v>
      </c>
      <c r="X70" t="s">
        <v>68</v>
      </c>
      <c r="Y70" t="s">
        <v>71</v>
      </c>
      <c r="Z70" t="s">
        <v>133</v>
      </c>
    </row>
    <row r="71" spans="1:26" x14ac:dyDescent="0.2">
      <c r="A71" t="s">
        <v>320</v>
      </c>
      <c r="B71" t="s">
        <v>321</v>
      </c>
      <c r="C71" t="s">
        <v>89</v>
      </c>
      <c r="D71" t="s">
        <v>230</v>
      </c>
      <c r="E71" t="s">
        <v>322</v>
      </c>
      <c r="F71" t="s">
        <v>84</v>
      </c>
      <c r="G71" t="s">
        <v>65</v>
      </c>
      <c r="H71" t="s">
        <v>78</v>
      </c>
      <c r="I71" t="s">
        <v>99</v>
      </c>
      <c r="J71" s="3">
        <v>45721</v>
      </c>
      <c r="K71">
        <v>0.8</v>
      </c>
      <c r="L71">
        <v>44</v>
      </c>
      <c r="M71" s="4">
        <v>20000</v>
      </c>
      <c r="N71" s="4">
        <v>285137</v>
      </c>
      <c r="O71" t="s">
        <v>69</v>
      </c>
      <c r="P71" t="s">
        <v>69</v>
      </c>
      <c r="Q71">
        <v>4</v>
      </c>
      <c r="R71">
        <v>62</v>
      </c>
      <c r="S71">
        <v>40</v>
      </c>
      <c r="T71" t="s">
        <v>69</v>
      </c>
      <c r="U71">
        <v>4</v>
      </c>
      <c r="V71">
        <v>53</v>
      </c>
      <c r="W71" t="s">
        <v>69</v>
      </c>
      <c r="X71" t="s">
        <v>69</v>
      </c>
      <c r="Y71" t="s">
        <v>86</v>
      </c>
      <c r="Z71" t="s">
        <v>89</v>
      </c>
    </row>
    <row r="72" spans="1:26" x14ac:dyDescent="0.2">
      <c r="A72" t="s">
        <v>323</v>
      </c>
      <c r="B72" t="s">
        <v>324</v>
      </c>
      <c r="C72" t="s">
        <v>89</v>
      </c>
      <c r="D72" t="s">
        <v>154</v>
      </c>
      <c r="E72" t="s">
        <v>325</v>
      </c>
      <c r="F72" t="s">
        <v>64</v>
      </c>
      <c r="G72" t="s">
        <v>65</v>
      </c>
      <c r="H72" t="s">
        <v>66</v>
      </c>
      <c r="I72" t="s">
        <v>79</v>
      </c>
      <c r="J72" s="3">
        <v>44362</v>
      </c>
      <c r="K72">
        <v>4.5999999999999996</v>
      </c>
      <c r="L72">
        <v>45</v>
      </c>
      <c r="M72" s="4">
        <v>6500</v>
      </c>
      <c r="N72" s="4">
        <v>107544</v>
      </c>
      <c r="O72" t="s">
        <v>68</v>
      </c>
      <c r="P72" t="s">
        <v>69</v>
      </c>
      <c r="Q72">
        <v>3.49</v>
      </c>
      <c r="R72">
        <v>58</v>
      </c>
      <c r="S72">
        <v>43</v>
      </c>
      <c r="T72" t="s">
        <v>69</v>
      </c>
      <c r="U72">
        <v>0</v>
      </c>
      <c r="V72">
        <v>29</v>
      </c>
      <c r="W72" t="s">
        <v>70</v>
      </c>
      <c r="X72" t="s">
        <v>68</v>
      </c>
      <c r="Y72" t="s">
        <v>86</v>
      </c>
      <c r="Z72" t="s">
        <v>89</v>
      </c>
    </row>
    <row r="73" spans="1:26" x14ac:dyDescent="0.2">
      <c r="A73" t="s">
        <v>326</v>
      </c>
      <c r="B73" t="s">
        <v>327</v>
      </c>
      <c r="C73" t="s">
        <v>143</v>
      </c>
      <c r="D73" t="s">
        <v>158</v>
      </c>
      <c r="E73" t="s">
        <v>159</v>
      </c>
      <c r="F73" t="s">
        <v>136</v>
      </c>
      <c r="G73" t="s">
        <v>65</v>
      </c>
      <c r="H73" t="s">
        <v>78</v>
      </c>
      <c r="I73" t="s">
        <v>148</v>
      </c>
      <c r="J73" s="3">
        <v>40952</v>
      </c>
      <c r="K73">
        <v>13.9</v>
      </c>
      <c r="L73">
        <v>32</v>
      </c>
      <c r="M73" s="4">
        <v>14700</v>
      </c>
      <c r="N73" s="4">
        <v>225380</v>
      </c>
      <c r="O73" t="s">
        <v>68</v>
      </c>
      <c r="P73" t="s">
        <v>69</v>
      </c>
      <c r="Q73">
        <v>3.35</v>
      </c>
      <c r="R73">
        <v>78</v>
      </c>
      <c r="S73">
        <v>17</v>
      </c>
      <c r="T73" t="s">
        <v>69</v>
      </c>
      <c r="U73">
        <v>9</v>
      </c>
      <c r="V73">
        <v>6</v>
      </c>
      <c r="W73" t="s">
        <v>70</v>
      </c>
      <c r="X73" t="s">
        <v>68</v>
      </c>
      <c r="Y73" t="s">
        <v>71</v>
      </c>
      <c r="Z73" t="s">
        <v>143</v>
      </c>
    </row>
    <row r="74" spans="1:26" x14ac:dyDescent="0.2">
      <c r="A74" t="s">
        <v>328</v>
      </c>
      <c r="B74" t="s">
        <v>329</v>
      </c>
      <c r="C74" t="s">
        <v>124</v>
      </c>
      <c r="D74" t="s">
        <v>125</v>
      </c>
      <c r="E74" t="s">
        <v>330</v>
      </c>
      <c r="F74" t="s">
        <v>120</v>
      </c>
      <c r="G74" t="s">
        <v>85</v>
      </c>
      <c r="H74" t="s">
        <v>66</v>
      </c>
      <c r="I74" t="s">
        <v>111</v>
      </c>
      <c r="J74" s="3">
        <v>41261</v>
      </c>
      <c r="K74">
        <v>13</v>
      </c>
      <c r="L74">
        <v>24</v>
      </c>
      <c r="M74" s="4">
        <v>8300</v>
      </c>
      <c r="N74" s="4">
        <v>123363</v>
      </c>
      <c r="O74" t="s">
        <v>68</v>
      </c>
      <c r="P74" t="s">
        <v>68</v>
      </c>
      <c r="Q74">
        <v>2.46</v>
      </c>
      <c r="R74">
        <v>66</v>
      </c>
      <c r="S74">
        <v>37</v>
      </c>
      <c r="T74" t="s">
        <v>69</v>
      </c>
      <c r="U74">
        <v>5</v>
      </c>
      <c r="V74">
        <v>0</v>
      </c>
      <c r="W74" t="s">
        <v>70</v>
      </c>
      <c r="X74" t="s">
        <v>68</v>
      </c>
      <c r="Y74" t="s">
        <v>71</v>
      </c>
      <c r="Z74" t="s">
        <v>124</v>
      </c>
    </row>
    <row r="75" spans="1:26" x14ac:dyDescent="0.2">
      <c r="A75" t="s">
        <v>331</v>
      </c>
      <c r="B75" t="s">
        <v>332</v>
      </c>
      <c r="C75" t="s">
        <v>89</v>
      </c>
      <c r="D75" t="s">
        <v>90</v>
      </c>
      <c r="E75" t="s">
        <v>333</v>
      </c>
      <c r="F75" t="s">
        <v>136</v>
      </c>
      <c r="G75" t="s">
        <v>65</v>
      </c>
      <c r="H75" t="s">
        <v>66</v>
      </c>
      <c r="I75" t="s">
        <v>79</v>
      </c>
      <c r="J75" s="3">
        <v>43725</v>
      </c>
      <c r="K75">
        <v>6.3</v>
      </c>
      <c r="L75">
        <v>50</v>
      </c>
      <c r="M75" s="4">
        <v>15500</v>
      </c>
      <c r="N75" s="4">
        <v>239425</v>
      </c>
      <c r="O75" t="s">
        <v>68</v>
      </c>
      <c r="P75" t="s">
        <v>69</v>
      </c>
      <c r="Q75">
        <v>2.62</v>
      </c>
      <c r="R75">
        <v>48</v>
      </c>
      <c r="S75">
        <v>46</v>
      </c>
      <c r="T75" t="s">
        <v>69</v>
      </c>
      <c r="U75">
        <v>1</v>
      </c>
      <c r="V75">
        <v>24</v>
      </c>
      <c r="W75" t="s">
        <v>70</v>
      </c>
      <c r="X75" t="s">
        <v>68</v>
      </c>
      <c r="Y75" t="s">
        <v>86</v>
      </c>
      <c r="Z75" t="s">
        <v>89</v>
      </c>
    </row>
    <row r="76" spans="1:26" x14ac:dyDescent="0.2">
      <c r="A76" t="s">
        <v>334</v>
      </c>
      <c r="B76" t="s">
        <v>335</v>
      </c>
      <c r="C76" t="s">
        <v>89</v>
      </c>
      <c r="D76" t="s">
        <v>90</v>
      </c>
      <c r="E76" t="s">
        <v>336</v>
      </c>
      <c r="F76" t="s">
        <v>174</v>
      </c>
      <c r="G76" t="s">
        <v>65</v>
      </c>
      <c r="H76" t="s">
        <v>78</v>
      </c>
      <c r="I76" t="s">
        <v>67</v>
      </c>
      <c r="J76" s="3">
        <v>42746</v>
      </c>
      <c r="K76">
        <v>9</v>
      </c>
      <c r="L76">
        <v>45</v>
      </c>
      <c r="M76" s="4">
        <v>33300</v>
      </c>
      <c r="N76" s="4">
        <v>544775</v>
      </c>
      <c r="O76" t="s">
        <v>69</v>
      </c>
      <c r="P76" t="s">
        <v>69</v>
      </c>
      <c r="Q76">
        <v>2.66</v>
      </c>
      <c r="R76">
        <v>53</v>
      </c>
      <c r="S76">
        <v>35</v>
      </c>
      <c r="T76" t="s">
        <v>69</v>
      </c>
      <c r="U76">
        <v>1</v>
      </c>
      <c r="V76">
        <v>39</v>
      </c>
      <c r="W76" t="s">
        <v>69</v>
      </c>
      <c r="X76" t="s">
        <v>68</v>
      </c>
      <c r="Y76" t="s">
        <v>86</v>
      </c>
      <c r="Z76" t="s">
        <v>89</v>
      </c>
    </row>
    <row r="77" spans="1:26" x14ac:dyDescent="0.2">
      <c r="A77" t="s">
        <v>337</v>
      </c>
      <c r="B77" t="s">
        <v>338</v>
      </c>
      <c r="C77" t="s">
        <v>102</v>
      </c>
      <c r="D77" t="s">
        <v>339</v>
      </c>
      <c r="E77" t="s">
        <v>340</v>
      </c>
      <c r="F77" t="s">
        <v>77</v>
      </c>
      <c r="G77" t="s">
        <v>215</v>
      </c>
      <c r="H77" t="s">
        <v>66</v>
      </c>
      <c r="I77" t="s">
        <v>115</v>
      </c>
      <c r="J77" s="3">
        <v>45693</v>
      </c>
      <c r="K77">
        <v>0.9</v>
      </c>
      <c r="L77">
        <v>42</v>
      </c>
      <c r="M77" s="4">
        <v>10300</v>
      </c>
      <c r="N77" s="4">
        <v>158928</v>
      </c>
      <c r="O77" t="s">
        <v>69</v>
      </c>
      <c r="P77" t="s">
        <v>69</v>
      </c>
      <c r="Q77">
        <v>2.79</v>
      </c>
      <c r="R77">
        <v>59</v>
      </c>
      <c r="S77">
        <v>37</v>
      </c>
      <c r="T77" t="s">
        <v>69</v>
      </c>
      <c r="U77">
        <v>0</v>
      </c>
      <c r="V77">
        <v>46</v>
      </c>
      <c r="W77" t="s">
        <v>69</v>
      </c>
      <c r="X77" t="s">
        <v>68</v>
      </c>
      <c r="Y77" t="s">
        <v>86</v>
      </c>
      <c r="Z77" t="s">
        <v>102</v>
      </c>
    </row>
    <row r="78" spans="1:26" x14ac:dyDescent="0.2">
      <c r="A78" t="s">
        <v>341</v>
      </c>
      <c r="B78" t="s">
        <v>342</v>
      </c>
      <c r="C78" t="s">
        <v>133</v>
      </c>
      <c r="D78" t="s">
        <v>15</v>
      </c>
      <c r="E78" t="s">
        <v>343</v>
      </c>
      <c r="F78" t="s">
        <v>120</v>
      </c>
      <c r="G78" t="s">
        <v>65</v>
      </c>
      <c r="H78" t="s">
        <v>78</v>
      </c>
      <c r="I78" t="s">
        <v>148</v>
      </c>
      <c r="J78" s="3">
        <v>44149</v>
      </c>
      <c r="K78">
        <v>5.0999999999999996</v>
      </c>
      <c r="L78">
        <v>50</v>
      </c>
      <c r="M78" s="4">
        <v>9500</v>
      </c>
      <c r="N78" s="4">
        <v>156438</v>
      </c>
      <c r="O78" t="s">
        <v>68</v>
      </c>
      <c r="P78" t="s">
        <v>68</v>
      </c>
      <c r="Q78">
        <v>3.34</v>
      </c>
      <c r="R78">
        <v>48</v>
      </c>
      <c r="S78">
        <v>18</v>
      </c>
      <c r="T78" t="s">
        <v>69</v>
      </c>
      <c r="U78">
        <v>0</v>
      </c>
      <c r="V78">
        <v>8</v>
      </c>
      <c r="W78" t="s">
        <v>70</v>
      </c>
      <c r="X78" t="s">
        <v>68</v>
      </c>
      <c r="Y78" t="s">
        <v>86</v>
      </c>
      <c r="Z78" t="s">
        <v>133</v>
      </c>
    </row>
    <row r="79" spans="1:26" x14ac:dyDescent="0.2">
      <c r="A79" t="s">
        <v>344</v>
      </c>
      <c r="B79" t="s">
        <v>345</v>
      </c>
      <c r="C79" t="s">
        <v>102</v>
      </c>
      <c r="D79" t="s">
        <v>183</v>
      </c>
      <c r="E79" t="s">
        <v>184</v>
      </c>
      <c r="F79" t="s">
        <v>120</v>
      </c>
      <c r="G79" t="s">
        <v>65</v>
      </c>
      <c r="H79" t="s">
        <v>78</v>
      </c>
      <c r="I79" t="s">
        <v>67</v>
      </c>
      <c r="J79" s="3">
        <v>43983</v>
      </c>
      <c r="K79">
        <v>5.6</v>
      </c>
      <c r="L79">
        <v>49</v>
      </c>
      <c r="M79" s="4">
        <v>10200</v>
      </c>
      <c r="N79" s="4">
        <v>149423</v>
      </c>
      <c r="O79" t="s">
        <v>68</v>
      </c>
      <c r="P79" t="s">
        <v>69</v>
      </c>
      <c r="Q79">
        <v>2.96</v>
      </c>
      <c r="R79">
        <v>55</v>
      </c>
      <c r="S79">
        <v>35</v>
      </c>
      <c r="T79" t="s">
        <v>69</v>
      </c>
      <c r="U79">
        <v>1</v>
      </c>
      <c r="V79">
        <v>53</v>
      </c>
      <c r="W79" t="s">
        <v>70</v>
      </c>
      <c r="X79" t="s">
        <v>68</v>
      </c>
      <c r="Y79" t="s">
        <v>86</v>
      </c>
      <c r="Z79" t="s">
        <v>102</v>
      </c>
    </row>
    <row r="80" spans="1:26" x14ac:dyDescent="0.2">
      <c r="A80" t="s">
        <v>346</v>
      </c>
      <c r="B80" t="s">
        <v>347</v>
      </c>
      <c r="C80" t="s">
        <v>89</v>
      </c>
      <c r="D80" t="s">
        <v>90</v>
      </c>
      <c r="E80" t="s">
        <v>348</v>
      </c>
      <c r="F80" t="s">
        <v>77</v>
      </c>
      <c r="G80" t="s">
        <v>65</v>
      </c>
      <c r="H80" t="s">
        <v>78</v>
      </c>
      <c r="I80" t="s">
        <v>67</v>
      </c>
      <c r="J80" s="3">
        <v>43912</v>
      </c>
      <c r="K80">
        <v>5.8</v>
      </c>
      <c r="L80">
        <v>54</v>
      </c>
      <c r="M80" s="4">
        <v>12700</v>
      </c>
      <c r="N80" s="4">
        <v>194925</v>
      </c>
      <c r="O80" t="s">
        <v>68</v>
      </c>
      <c r="P80" t="s">
        <v>69</v>
      </c>
      <c r="Q80">
        <v>3.19</v>
      </c>
      <c r="R80">
        <v>60</v>
      </c>
      <c r="S80">
        <v>4</v>
      </c>
      <c r="T80" t="s">
        <v>68</v>
      </c>
      <c r="U80">
        <v>2</v>
      </c>
      <c r="V80">
        <v>14</v>
      </c>
      <c r="W80" t="s">
        <v>70</v>
      </c>
      <c r="X80" t="s">
        <v>68</v>
      </c>
      <c r="Y80" t="s">
        <v>71</v>
      </c>
      <c r="Z80" t="s">
        <v>89</v>
      </c>
    </row>
    <row r="81" spans="1:26" x14ac:dyDescent="0.2">
      <c r="A81" t="s">
        <v>349</v>
      </c>
      <c r="B81" t="s">
        <v>350</v>
      </c>
      <c r="C81" t="s">
        <v>143</v>
      </c>
      <c r="D81" t="s">
        <v>144</v>
      </c>
      <c r="E81" t="s">
        <v>351</v>
      </c>
      <c r="F81" t="s">
        <v>84</v>
      </c>
      <c r="G81" t="s">
        <v>65</v>
      </c>
      <c r="H81" t="s">
        <v>66</v>
      </c>
      <c r="I81" t="s">
        <v>99</v>
      </c>
      <c r="J81" s="3">
        <v>44910</v>
      </c>
      <c r="K81">
        <v>3</v>
      </c>
      <c r="L81">
        <v>57</v>
      </c>
      <c r="M81" s="4">
        <v>15700</v>
      </c>
      <c r="N81" s="4">
        <v>250224</v>
      </c>
      <c r="O81" t="s">
        <v>69</v>
      </c>
      <c r="P81" t="s">
        <v>69</v>
      </c>
      <c r="Q81">
        <v>2.72</v>
      </c>
      <c r="R81">
        <v>53</v>
      </c>
      <c r="S81">
        <v>40</v>
      </c>
      <c r="T81" t="s">
        <v>69</v>
      </c>
      <c r="U81">
        <v>2</v>
      </c>
      <c r="V81">
        <v>0</v>
      </c>
      <c r="W81" t="s">
        <v>69</v>
      </c>
      <c r="X81" t="s">
        <v>68</v>
      </c>
      <c r="Y81" t="s">
        <v>71</v>
      </c>
      <c r="Z81" t="s">
        <v>143</v>
      </c>
    </row>
    <row r="82" spans="1:26" x14ac:dyDescent="0.2">
      <c r="A82" t="s">
        <v>352</v>
      </c>
      <c r="B82" t="s">
        <v>189</v>
      </c>
      <c r="C82" t="s">
        <v>102</v>
      </c>
      <c r="D82" t="s">
        <v>339</v>
      </c>
      <c r="E82" t="s">
        <v>340</v>
      </c>
      <c r="F82" t="s">
        <v>77</v>
      </c>
      <c r="G82" t="s">
        <v>65</v>
      </c>
      <c r="H82" t="s">
        <v>78</v>
      </c>
      <c r="I82" t="s">
        <v>99</v>
      </c>
      <c r="J82" s="3">
        <v>42710</v>
      </c>
      <c r="K82">
        <v>9.1</v>
      </c>
      <c r="L82">
        <v>38</v>
      </c>
      <c r="M82" s="4">
        <v>12100</v>
      </c>
      <c r="N82" s="4">
        <v>183696</v>
      </c>
      <c r="O82" t="s">
        <v>68</v>
      </c>
      <c r="P82" t="s">
        <v>69</v>
      </c>
      <c r="Q82">
        <v>2.58</v>
      </c>
      <c r="R82">
        <v>56</v>
      </c>
      <c r="S82">
        <v>14</v>
      </c>
      <c r="T82" t="s">
        <v>69</v>
      </c>
      <c r="U82">
        <v>3</v>
      </c>
      <c r="V82">
        <v>53</v>
      </c>
      <c r="W82" t="s">
        <v>70</v>
      </c>
      <c r="X82" t="s">
        <v>68</v>
      </c>
      <c r="Y82" t="s">
        <v>86</v>
      </c>
      <c r="Z82" t="s">
        <v>102</v>
      </c>
    </row>
    <row r="83" spans="1:26" x14ac:dyDescent="0.2">
      <c r="A83" t="s">
        <v>353</v>
      </c>
      <c r="B83" t="s">
        <v>354</v>
      </c>
      <c r="C83" t="s">
        <v>108</v>
      </c>
      <c r="D83" t="s">
        <v>109</v>
      </c>
      <c r="E83" t="s">
        <v>355</v>
      </c>
      <c r="F83" t="s">
        <v>77</v>
      </c>
      <c r="G83" t="s">
        <v>215</v>
      </c>
      <c r="H83" t="s">
        <v>78</v>
      </c>
      <c r="I83" t="s">
        <v>67</v>
      </c>
      <c r="J83" s="3">
        <v>41342</v>
      </c>
      <c r="K83">
        <v>12.8</v>
      </c>
      <c r="L83">
        <v>30</v>
      </c>
      <c r="M83" s="4">
        <v>11700</v>
      </c>
      <c r="N83" s="4">
        <v>171231</v>
      </c>
      <c r="O83" t="s">
        <v>68</v>
      </c>
      <c r="P83" t="s">
        <v>69</v>
      </c>
      <c r="Q83">
        <v>2.5099999999999998</v>
      </c>
      <c r="R83">
        <v>56</v>
      </c>
      <c r="S83">
        <v>26</v>
      </c>
      <c r="T83" t="s">
        <v>69</v>
      </c>
      <c r="U83">
        <v>0</v>
      </c>
      <c r="V83">
        <v>35</v>
      </c>
      <c r="W83" t="s">
        <v>70</v>
      </c>
      <c r="X83" t="s">
        <v>68</v>
      </c>
      <c r="Y83" t="s">
        <v>86</v>
      </c>
      <c r="Z83" t="s">
        <v>108</v>
      </c>
    </row>
    <row r="84" spans="1:26" x14ac:dyDescent="0.2">
      <c r="A84" t="s">
        <v>356</v>
      </c>
      <c r="B84" t="s">
        <v>357</v>
      </c>
      <c r="C84" t="s">
        <v>74</v>
      </c>
      <c r="D84" t="s">
        <v>313</v>
      </c>
      <c r="E84" t="s">
        <v>358</v>
      </c>
      <c r="F84" t="s">
        <v>120</v>
      </c>
      <c r="G84" t="s">
        <v>215</v>
      </c>
      <c r="H84" t="s">
        <v>66</v>
      </c>
      <c r="I84" t="s">
        <v>67</v>
      </c>
      <c r="J84" s="3">
        <v>41229</v>
      </c>
      <c r="K84">
        <v>13.1</v>
      </c>
      <c r="L84">
        <v>29</v>
      </c>
      <c r="M84" s="4">
        <v>7900</v>
      </c>
      <c r="N84" s="4">
        <v>119667</v>
      </c>
      <c r="O84" t="s">
        <v>68</v>
      </c>
      <c r="P84" t="s">
        <v>68</v>
      </c>
      <c r="Q84">
        <v>3.32</v>
      </c>
      <c r="R84">
        <v>65</v>
      </c>
      <c r="S84">
        <v>39</v>
      </c>
      <c r="T84" t="s">
        <v>69</v>
      </c>
      <c r="U84">
        <v>13</v>
      </c>
      <c r="V84">
        <v>17</v>
      </c>
      <c r="W84" t="s">
        <v>70</v>
      </c>
      <c r="X84" t="s">
        <v>68</v>
      </c>
      <c r="Y84" t="s">
        <v>71</v>
      </c>
      <c r="Z84" t="s">
        <v>74</v>
      </c>
    </row>
    <row r="85" spans="1:26" x14ac:dyDescent="0.2">
      <c r="A85" t="s">
        <v>359</v>
      </c>
      <c r="B85" t="s">
        <v>360</v>
      </c>
      <c r="C85" t="s">
        <v>61</v>
      </c>
      <c r="D85" t="s">
        <v>218</v>
      </c>
      <c r="E85" t="s">
        <v>361</v>
      </c>
      <c r="F85" t="s">
        <v>92</v>
      </c>
      <c r="G85" t="s">
        <v>85</v>
      </c>
      <c r="H85" t="s">
        <v>78</v>
      </c>
      <c r="I85" t="s">
        <v>93</v>
      </c>
      <c r="J85" s="3">
        <v>45921</v>
      </c>
      <c r="K85">
        <v>0.3</v>
      </c>
      <c r="L85">
        <v>51</v>
      </c>
      <c r="M85" s="4">
        <v>5300</v>
      </c>
      <c r="N85" s="4">
        <v>78842</v>
      </c>
      <c r="O85" t="s">
        <v>68</v>
      </c>
      <c r="P85" t="s">
        <v>69</v>
      </c>
      <c r="Q85">
        <v>3.18</v>
      </c>
      <c r="R85">
        <v>77</v>
      </c>
      <c r="S85">
        <v>21</v>
      </c>
      <c r="T85" t="s">
        <v>69</v>
      </c>
      <c r="U85">
        <v>0</v>
      </c>
      <c r="V85">
        <v>0</v>
      </c>
      <c r="W85" t="s">
        <v>70</v>
      </c>
      <c r="X85" t="s">
        <v>68</v>
      </c>
      <c r="Y85" t="s">
        <v>71</v>
      </c>
      <c r="Z85" t="s">
        <v>61</v>
      </c>
    </row>
    <row r="86" spans="1:26" x14ac:dyDescent="0.2">
      <c r="A86" t="s">
        <v>362</v>
      </c>
      <c r="B86" t="s">
        <v>363</v>
      </c>
      <c r="C86" t="s">
        <v>89</v>
      </c>
      <c r="D86" t="s">
        <v>90</v>
      </c>
      <c r="E86" t="s">
        <v>187</v>
      </c>
      <c r="F86" t="s">
        <v>120</v>
      </c>
      <c r="G86" t="s">
        <v>65</v>
      </c>
      <c r="H86" t="s">
        <v>66</v>
      </c>
      <c r="I86" t="s">
        <v>236</v>
      </c>
      <c r="J86" s="3">
        <v>42697</v>
      </c>
      <c r="K86">
        <v>9.1</v>
      </c>
      <c r="L86">
        <v>24</v>
      </c>
      <c r="M86" s="4">
        <v>8600</v>
      </c>
      <c r="N86" s="4">
        <v>136991</v>
      </c>
      <c r="O86" t="s">
        <v>68</v>
      </c>
      <c r="P86" t="s">
        <v>69</v>
      </c>
      <c r="Q86">
        <v>3.09</v>
      </c>
      <c r="R86">
        <v>57</v>
      </c>
      <c r="S86">
        <v>19</v>
      </c>
      <c r="T86" t="s">
        <v>69</v>
      </c>
      <c r="U86">
        <v>2</v>
      </c>
      <c r="V86">
        <v>0</v>
      </c>
      <c r="W86" t="s">
        <v>70</v>
      </c>
      <c r="X86" t="s">
        <v>68</v>
      </c>
      <c r="Y86" t="s">
        <v>71</v>
      </c>
      <c r="Z86" t="s">
        <v>89</v>
      </c>
    </row>
    <row r="87" spans="1:26" x14ac:dyDescent="0.2">
      <c r="A87" t="s">
        <v>364</v>
      </c>
      <c r="B87" t="s">
        <v>365</v>
      </c>
      <c r="C87" t="s">
        <v>89</v>
      </c>
      <c r="D87" t="s">
        <v>90</v>
      </c>
      <c r="E87" t="s">
        <v>253</v>
      </c>
      <c r="F87" t="s">
        <v>64</v>
      </c>
      <c r="G87" t="s">
        <v>65</v>
      </c>
      <c r="H87" t="s">
        <v>66</v>
      </c>
      <c r="I87" t="s">
        <v>121</v>
      </c>
      <c r="J87" s="3">
        <v>41028</v>
      </c>
      <c r="K87">
        <v>13.7</v>
      </c>
      <c r="L87">
        <v>22</v>
      </c>
      <c r="M87" s="4">
        <v>6900</v>
      </c>
      <c r="N87" s="4">
        <v>100484</v>
      </c>
      <c r="O87" t="s">
        <v>68</v>
      </c>
      <c r="P87" t="s">
        <v>69</v>
      </c>
      <c r="Q87">
        <v>2.95</v>
      </c>
      <c r="R87">
        <v>43</v>
      </c>
      <c r="S87">
        <v>29</v>
      </c>
      <c r="T87" t="s">
        <v>69</v>
      </c>
      <c r="U87">
        <v>4</v>
      </c>
      <c r="V87">
        <v>45</v>
      </c>
      <c r="W87" t="s">
        <v>70</v>
      </c>
      <c r="X87" t="s">
        <v>68</v>
      </c>
      <c r="Y87" t="s">
        <v>366</v>
      </c>
      <c r="Z87" t="s">
        <v>89</v>
      </c>
    </row>
    <row r="88" spans="1:26" x14ac:dyDescent="0.2">
      <c r="A88" t="s">
        <v>367</v>
      </c>
      <c r="B88" t="s">
        <v>368</v>
      </c>
      <c r="C88" t="s">
        <v>102</v>
      </c>
      <c r="D88" t="s">
        <v>103</v>
      </c>
      <c r="E88" t="s">
        <v>369</v>
      </c>
      <c r="F88" t="s">
        <v>120</v>
      </c>
      <c r="G88" t="s">
        <v>215</v>
      </c>
      <c r="H88" t="s">
        <v>78</v>
      </c>
      <c r="I88" t="s">
        <v>67</v>
      </c>
      <c r="J88" s="3">
        <v>42783</v>
      </c>
      <c r="K88">
        <v>8.9</v>
      </c>
      <c r="L88">
        <v>24</v>
      </c>
      <c r="M88" s="4">
        <v>9100</v>
      </c>
      <c r="N88" s="4">
        <v>143254</v>
      </c>
      <c r="O88" t="s">
        <v>68</v>
      </c>
      <c r="P88" t="s">
        <v>69</v>
      </c>
      <c r="Q88">
        <v>3.28</v>
      </c>
      <c r="R88">
        <v>69</v>
      </c>
      <c r="S88">
        <v>19</v>
      </c>
      <c r="T88" t="s">
        <v>69</v>
      </c>
      <c r="U88">
        <v>2</v>
      </c>
      <c r="V88">
        <v>40</v>
      </c>
      <c r="W88" t="s">
        <v>70</v>
      </c>
      <c r="X88" t="s">
        <v>68</v>
      </c>
      <c r="Y88" t="s">
        <v>71</v>
      </c>
      <c r="Z88" t="s">
        <v>102</v>
      </c>
    </row>
    <row r="89" spans="1:26" x14ac:dyDescent="0.2">
      <c r="A89" t="s">
        <v>370</v>
      </c>
      <c r="B89" t="s">
        <v>371</v>
      </c>
      <c r="C89" t="s">
        <v>89</v>
      </c>
      <c r="D89" t="s">
        <v>239</v>
      </c>
      <c r="E89" t="s">
        <v>372</v>
      </c>
      <c r="F89" t="s">
        <v>120</v>
      </c>
      <c r="G89" t="s">
        <v>65</v>
      </c>
      <c r="H89" t="s">
        <v>66</v>
      </c>
      <c r="I89" t="s">
        <v>99</v>
      </c>
      <c r="J89" s="3">
        <v>41295</v>
      </c>
      <c r="K89">
        <v>13</v>
      </c>
      <c r="L89">
        <v>24</v>
      </c>
      <c r="M89" s="4">
        <v>8300</v>
      </c>
      <c r="N89" s="4">
        <v>131095</v>
      </c>
      <c r="O89" t="s">
        <v>68</v>
      </c>
      <c r="P89" t="s">
        <v>69</v>
      </c>
      <c r="Q89">
        <v>2.62</v>
      </c>
      <c r="R89">
        <v>72</v>
      </c>
      <c r="S89">
        <v>17</v>
      </c>
      <c r="T89" t="s">
        <v>69</v>
      </c>
      <c r="U89">
        <v>12</v>
      </c>
      <c r="V89">
        <v>37</v>
      </c>
      <c r="W89" t="s">
        <v>70</v>
      </c>
      <c r="X89" t="s">
        <v>68</v>
      </c>
      <c r="Y89" t="s">
        <v>71</v>
      </c>
      <c r="Z89" t="s">
        <v>89</v>
      </c>
    </row>
    <row r="90" spans="1:26" x14ac:dyDescent="0.2">
      <c r="A90" t="s">
        <v>373</v>
      </c>
      <c r="B90" t="s">
        <v>374</v>
      </c>
      <c r="C90" t="s">
        <v>108</v>
      </c>
      <c r="D90" t="s">
        <v>222</v>
      </c>
      <c r="E90" t="s">
        <v>375</v>
      </c>
      <c r="F90" t="s">
        <v>84</v>
      </c>
      <c r="G90" t="s">
        <v>65</v>
      </c>
      <c r="H90" t="s">
        <v>66</v>
      </c>
      <c r="I90" t="s">
        <v>99</v>
      </c>
      <c r="J90" s="3">
        <v>41185</v>
      </c>
      <c r="K90">
        <v>13.3</v>
      </c>
      <c r="L90">
        <v>55</v>
      </c>
      <c r="M90" s="4">
        <v>20800</v>
      </c>
      <c r="N90" s="4">
        <v>325268</v>
      </c>
      <c r="O90" t="s">
        <v>69</v>
      </c>
      <c r="P90" t="s">
        <v>69</v>
      </c>
      <c r="Q90">
        <v>3.09</v>
      </c>
      <c r="R90">
        <v>60</v>
      </c>
      <c r="S90">
        <v>33</v>
      </c>
      <c r="T90" t="s">
        <v>69</v>
      </c>
      <c r="U90">
        <v>6</v>
      </c>
      <c r="V90">
        <v>33</v>
      </c>
      <c r="W90" t="s">
        <v>68</v>
      </c>
      <c r="X90" t="s">
        <v>68</v>
      </c>
      <c r="Y90" t="s">
        <v>71</v>
      </c>
      <c r="Z90" t="s">
        <v>108</v>
      </c>
    </row>
    <row r="91" spans="1:26" x14ac:dyDescent="0.2">
      <c r="A91" t="s">
        <v>376</v>
      </c>
      <c r="B91" t="s">
        <v>377</v>
      </c>
      <c r="C91" t="s">
        <v>108</v>
      </c>
      <c r="D91" t="s">
        <v>222</v>
      </c>
      <c r="E91" t="s">
        <v>378</v>
      </c>
      <c r="F91" t="s">
        <v>77</v>
      </c>
      <c r="G91" t="s">
        <v>65</v>
      </c>
      <c r="H91" t="s">
        <v>78</v>
      </c>
      <c r="I91" t="s">
        <v>148</v>
      </c>
      <c r="J91" s="3">
        <v>43996</v>
      </c>
      <c r="K91">
        <v>5.6</v>
      </c>
      <c r="L91">
        <v>27</v>
      </c>
      <c r="M91" s="4">
        <v>9400</v>
      </c>
      <c r="N91" s="4">
        <v>133746</v>
      </c>
      <c r="O91" t="s">
        <v>68</v>
      </c>
      <c r="P91" t="s">
        <v>69</v>
      </c>
      <c r="Q91">
        <v>3.43</v>
      </c>
      <c r="R91">
        <v>70</v>
      </c>
      <c r="S91">
        <v>34</v>
      </c>
      <c r="T91" t="s">
        <v>69</v>
      </c>
      <c r="U91">
        <v>5</v>
      </c>
      <c r="V91">
        <v>0</v>
      </c>
      <c r="W91" t="s">
        <v>70</v>
      </c>
      <c r="X91" t="s">
        <v>68</v>
      </c>
      <c r="Y91" t="s">
        <v>71</v>
      </c>
      <c r="Z91" t="s">
        <v>108</v>
      </c>
    </row>
    <row r="92" spans="1:26" x14ac:dyDescent="0.2">
      <c r="A92" t="s">
        <v>379</v>
      </c>
      <c r="B92" t="s">
        <v>380</v>
      </c>
      <c r="C92" t="s">
        <v>108</v>
      </c>
      <c r="D92" t="s">
        <v>194</v>
      </c>
      <c r="E92" t="s">
        <v>381</v>
      </c>
      <c r="F92" t="s">
        <v>77</v>
      </c>
      <c r="G92" t="s">
        <v>65</v>
      </c>
      <c r="H92" t="s">
        <v>66</v>
      </c>
      <c r="I92" t="s">
        <v>148</v>
      </c>
      <c r="J92" s="3">
        <v>42732</v>
      </c>
      <c r="K92">
        <v>9</v>
      </c>
      <c r="L92">
        <v>31</v>
      </c>
      <c r="M92" s="4">
        <v>12200</v>
      </c>
      <c r="N92" s="4">
        <v>173639</v>
      </c>
      <c r="O92" t="s">
        <v>68</v>
      </c>
      <c r="P92" t="s">
        <v>69</v>
      </c>
      <c r="Q92">
        <v>3.25</v>
      </c>
      <c r="R92">
        <v>65</v>
      </c>
      <c r="S92">
        <v>0</v>
      </c>
      <c r="T92" t="s">
        <v>69</v>
      </c>
      <c r="U92">
        <v>5</v>
      </c>
      <c r="V92">
        <v>33</v>
      </c>
      <c r="W92" t="s">
        <v>70</v>
      </c>
      <c r="X92" t="s">
        <v>68</v>
      </c>
      <c r="Y92" t="s">
        <v>71</v>
      </c>
      <c r="Z92" t="s">
        <v>108</v>
      </c>
    </row>
    <row r="93" spans="1:26" x14ac:dyDescent="0.2">
      <c r="A93" t="s">
        <v>382</v>
      </c>
      <c r="B93" t="s">
        <v>383</v>
      </c>
      <c r="C93" t="s">
        <v>89</v>
      </c>
      <c r="D93" t="s">
        <v>239</v>
      </c>
      <c r="E93" t="s">
        <v>384</v>
      </c>
      <c r="F93" t="s">
        <v>136</v>
      </c>
      <c r="G93" t="s">
        <v>65</v>
      </c>
      <c r="H93" t="s">
        <v>78</v>
      </c>
      <c r="I93" t="s">
        <v>93</v>
      </c>
      <c r="J93" s="3">
        <v>43364</v>
      </c>
      <c r="K93">
        <v>7.3</v>
      </c>
      <c r="L93">
        <v>36</v>
      </c>
      <c r="M93" s="4">
        <v>11600</v>
      </c>
      <c r="N93" s="4">
        <v>165039</v>
      </c>
      <c r="O93" t="s">
        <v>69</v>
      </c>
      <c r="P93" t="s">
        <v>69</v>
      </c>
      <c r="Q93">
        <v>3.87</v>
      </c>
      <c r="R93">
        <v>59</v>
      </c>
      <c r="S93">
        <v>6</v>
      </c>
      <c r="T93" t="s">
        <v>69</v>
      </c>
      <c r="U93">
        <v>1</v>
      </c>
      <c r="V93">
        <v>52</v>
      </c>
      <c r="W93" t="s">
        <v>69</v>
      </c>
      <c r="X93" t="s">
        <v>69</v>
      </c>
      <c r="Y93" t="s">
        <v>86</v>
      </c>
      <c r="Z93" t="s">
        <v>89</v>
      </c>
    </row>
    <row r="94" spans="1:26" x14ac:dyDescent="0.2">
      <c r="A94" t="s">
        <v>385</v>
      </c>
      <c r="B94" t="s">
        <v>260</v>
      </c>
      <c r="C94" t="s">
        <v>96</v>
      </c>
      <c r="D94" t="s">
        <v>97</v>
      </c>
      <c r="E94" t="s">
        <v>386</v>
      </c>
      <c r="F94" t="s">
        <v>120</v>
      </c>
      <c r="G94" t="s">
        <v>65</v>
      </c>
      <c r="H94" t="s">
        <v>66</v>
      </c>
      <c r="I94" t="s">
        <v>99</v>
      </c>
      <c r="J94" s="3">
        <v>45722</v>
      </c>
      <c r="K94">
        <v>0.8</v>
      </c>
      <c r="L94">
        <v>52</v>
      </c>
      <c r="M94" s="4">
        <v>6300</v>
      </c>
      <c r="N94" s="4">
        <v>100296</v>
      </c>
      <c r="O94" t="s">
        <v>68</v>
      </c>
      <c r="P94" t="s">
        <v>69</v>
      </c>
      <c r="Q94">
        <v>2.85</v>
      </c>
      <c r="R94">
        <v>56</v>
      </c>
      <c r="S94">
        <v>27</v>
      </c>
      <c r="T94" t="s">
        <v>69</v>
      </c>
      <c r="U94">
        <v>7</v>
      </c>
      <c r="V94">
        <v>17</v>
      </c>
      <c r="W94" t="s">
        <v>70</v>
      </c>
      <c r="X94" t="s">
        <v>68</v>
      </c>
      <c r="Y94" t="s">
        <v>71</v>
      </c>
      <c r="Z94" t="s">
        <v>96</v>
      </c>
    </row>
    <row r="95" spans="1:26" x14ac:dyDescent="0.2">
      <c r="A95" t="s">
        <v>387</v>
      </c>
      <c r="B95" t="s">
        <v>388</v>
      </c>
      <c r="C95" t="s">
        <v>108</v>
      </c>
      <c r="D95" t="s">
        <v>194</v>
      </c>
      <c r="E95" t="s">
        <v>296</v>
      </c>
      <c r="F95" t="s">
        <v>120</v>
      </c>
      <c r="G95" t="s">
        <v>65</v>
      </c>
      <c r="H95" t="s">
        <v>78</v>
      </c>
      <c r="I95" t="s">
        <v>111</v>
      </c>
      <c r="J95" s="3">
        <v>41365</v>
      </c>
      <c r="K95">
        <v>12.8</v>
      </c>
      <c r="L95">
        <v>51</v>
      </c>
      <c r="M95" s="4">
        <v>9800</v>
      </c>
      <c r="N95" s="4">
        <v>140504</v>
      </c>
      <c r="O95" t="s">
        <v>68</v>
      </c>
      <c r="P95" t="s">
        <v>69</v>
      </c>
      <c r="Q95">
        <v>3.78</v>
      </c>
      <c r="R95">
        <v>71</v>
      </c>
      <c r="S95">
        <v>27</v>
      </c>
      <c r="T95" t="s">
        <v>69</v>
      </c>
      <c r="U95">
        <v>1</v>
      </c>
      <c r="V95">
        <v>22</v>
      </c>
      <c r="W95" t="s">
        <v>70</v>
      </c>
      <c r="X95" t="s">
        <v>69</v>
      </c>
      <c r="Y95" t="s">
        <v>71</v>
      </c>
      <c r="Z95" t="s">
        <v>108</v>
      </c>
    </row>
    <row r="96" spans="1:26" x14ac:dyDescent="0.2">
      <c r="A96" t="s">
        <v>389</v>
      </c>
      <c r="B96" t="s">
        <v>390</v>
      </c>
      <c r="C96" t="s">
        <v>124</v>
      </c>
      <c r="D96" t="s">
        <v>391</v>
      </c>
      <c r="E96" t="s">
        <v>392</v>
      </c>
      <c r="F96" t="s">
        <v>77</v>
      </c>
      <c r="G96" t="s">
        <v>65</v>
      </c>
      <c r="H96" t="s">
        <v>78</v>
      </c>
      <c r="I96" t="s">
        <v>111</v>
      </c>
      <c r="J96" s="3">
        <v>41524</v>
      </c>
      <c r="K96">
        <v>12.3</v>
      </c>
      <c r="L96">
        <v>22</v>
      </c>
      <c r="M96" s="4">
        <v>12000</v>
      </c>
      <c r="N96" s="4">
        <v>187980</v>
      </c>
      <c r="O96" t="s">
        <v>68</v>
      </c>
      <c r="P96" t="s">
        <v>68</v>
      </c>
      <c r="Q96">
        <v>2.71</v>
      </c>
      <c r="R96">
        <v>58</v>
      </c>
      <c r="S96">
        <v>24</v>
      </c>
      <c r="T96" t="s">
        <v>69</v>
      </c>
      <c r="U96">
        <v>4</v>
      </c>
      <c r="V96">
        <v>6</v>
      </c>
      <c r="W96" t="s">
        <v>70</v>
      </c>
      <c r="X96" t="s">
        <v>68</v>
      </c>
      <c r="Y96" t="s">
        <v>71</v>
      </c>
      <c r="Z96" t="s">
        <v>124</v>
      </c>
    </row>
    <row r="97" spans="1:26" x14ac:dyDescent="0.2">
      <c r="A97" t="s">
        <v>393</v>
      </c>
      <c r="B97" t="s">
        <v>394</v>
      </c>
      <c r="C97" t="s">
        <v>124</v>
      </c>
      <c r="D97" t="s">
        <v>125</v>
      </c>
      <c r="E97" t="s">
        <v>395</v>
      </c>
      <c r="F97" t="s">
        <v>92</v>
      </c>
      <c r="G97" t="s">
        <v>215</v>
      </c>
      <c r="H97" t="s">
        <v>66</v>
      </c>
      <c r="I97" t="s">
        <v>99</v>
      </c>
      <c r="J97" s="3">
        <v>45936</v>
      </c>
      <c r="K97">
        <v>0.2</v>
      </c>
      <c r="L97">
        <v>45</v>
      </c>
      <c r="M97" s="4">
        <v>5300</v>
      </c>
      <c r="N97" s="4">
        <v>82485</v>
      </c>
      <c r="O97" t="s">
        <v>68</v>
      </c>
      <c r="P97" t="s">
        <v>68</v>
      </c>
      <c r="Q97">
        <v>3.15</v>
      </c>
      <c r="R97">
        <v>80</v>
      </c>
      <c r="S97">
        <v>28</v>
      </c>
      <c r="T97" t="s">
        <v>69</v>
      </c>
      <c r="U97">
        <v>3</v>
      </c>
      <c r="V97">
        <v>15</v>
      </c>
      <c r="W97" t="s">
        <v>70</v>
      </c>
      <c r="X97" t="s">
        <v>68</v>
      </c>
      <c r="Y97" t="s">
        <v>71</v>
      </c>
      <c r="Z97" t="s">
        <v>124</v>
      </c>
    </row>
    <row r="98" spans="1:26" x14ac:dyDescent="0.2">
      <c r="A98" t="s">
        <v>396</v>
      </c>
      <c r="B98" t="s">
        <v>397</v>
      </c>
      <c r="C98" t="s">
        <v>74</v>
      </c>
      <c r="D98" t="s">
        <v>75</v>
      </c>
      <c r="E98" t="s">
        <v>76</v>
      </c>
      <c r="F98" t="s">
        <v>77</v>
      </c>
      <c r="G98" t="s">
        <v>85</v>
      </c>
      <c r="H98" t="s">
        <v>78</v>
      </c>
      <c r="I98" t="s">
        <v>148</v>
      </c>
      <c r="J98" s="3">
        <v>42378</v>
      </c>
      <c r="K98">
        <v>10</v>
      </c>
      <c r="L98">
        <v>58</v>
      </c>
      <c r="M98" s="4">
        <v>13200</v>
      </c>
      <c r="N98" s="4">
        <v>191676</v>
      </c>
      <c r="O98" t="s">
        <v>68</v>
      </c>
      <c r="P98" t="s">
        <v>68</v>
      </c>
      <c r="Q98">
        <v>3.39</v>
      </c>
      <c r="R98">
        <v>71</v>
      </c>
      <c r="S98">
        <v>31</v>
      </c>
      <c r="T98" t="s">
        <v>69</v>
      </c>
      <c r="U98">
        <v>4</v>
      </c>
      <c r="V98">
        <v>0</v>
      </c>
      <c r="W98" t="s">
        <v>70</v>
      </c>
      <c r="X98" t="s">
        <v>68</v>
      </c>
      <c r="Y98" t="s">
        <v>71</v>
      </c>
      <c r="Z98" t="s">
        <v>74</v>
      </c>
    </row>
    <row r="99" spans="1:26" x14ac:dyDescent="0.2">
      <c r="A99" t="s">
        <v>398</v>
      </c>
      <c r="B99" t="s">
        <v>399</v>
      </c>
      <c r="C99" t="s">
        <v>143</v>
      </c>
      <c r="D99" t="s">
        <v>207</v>
      </c>
      <c r="E99" t="s">
        <v>400</v>
      </c>
      <c r="F99" t="s">
        <v>120</v>
      </c>
      <c r="G99" t="s">
        <v>65</v>
      </c>
      <c r="H99" t="s">
        <v>66</v>
      </c>
      <c r="I99" t="s">
        <v>148</v>
      </c>
      <c r="J99" s="3">
        <v>44674</v>
      </c>
      <c r="K99">
        <v>3.7</v>
      </c>
      <c r="L99">
        <v>26</v>
      </c>
      <c r="M99" s="4">
        <v>9400</v>
      </c>
      <c r="N99" s="4">
        <v>145196</v>
      </c>
      <c r="O99" t="s">
        <v>69</v>
      </c>
      <c r="P99" t="s">
        <v>69</v>
      </c>
      <c r="Q99">
        <v>4</v>
      </c>
      <c r="R99">
        <v>53</v>
      </c>
      <c r="S99">
        <v>20</v>
      </c>
      <c r="T99" t="s">
        <v>69</v>
      </c>
      <c r="U99">
        <v>0</v>
      </c>
      <c r="V99">
        <v>11</v>
      </c>
      <c r="W99" t="s">
        <v>69</v>
      </c>
      <c r="X99" t="s">
        <v>69</v>
      </c>
      <c r="Y99" t="s">
        <v>71</v>
      </c>
      <c r="Z99" t="s">
        <v>143</v>
      </c>
    </row>
    <row r="100" spans="1:26" x14ac:dyDescent="0.2">
      <c r="A100" t="s">
        <v>401</v>
      </c>
      <c r="B100" t="s">
        <v>402</v>
      </c>
      <c r="C100" t="s">
        <v>96</v>
      </c>
      <c r="D100" t="s">
        <v>162</v>
      </c>
      <c r="E100" t="s">
        <v>403</v>
      </c>
      <c r="F100" t="s">
        <v>84</v>
      </c>
      <c r="G100" t="s">
        <v>65</v>
      </c>
      <c r="H100" t="s">
        <v>78</v>
      </c>
      <c r="I100" t="s">
        <v>99</v>
      </c>
      <c r="J100" s="3">
        <v>44553</v>
      </c>
      <c r="K100">
        <v>4</v>
      </c>
      <c r="L100">
        <v>45</v>
      </c>
      <c r="M100" s="4">
        <v>18900</v>
      </c>
      <c r="N100" s="4">
        <v>310558</v>
      </c>
      <c r="O100" t="s">
        <v>69</v>
      </c>
      <c r="P100" t="s">
        <v>69</v>
      </c>
      <c r="Q100">
        <v>3</v>
      </c>
      <c r="R100">
        <v>75</v>
      </c>
      <c r="S100">
        <v>49</v>
      </c>
      <c r="T100" t="s">
        <v>68</v>
      </c>
      <c r="U100">
        <v>5</v>
      </c>
      <c r="V100">
        <v>11</v>
      </c>
      <c r="W100" t="s">
        <v>69</v>
      </c>
      <c r="X100" t="s">
        <v>68</v>
      </c>
      <c r="Y100" t="s">
        <v>71</v>
      </c>
      <c r="Z100" t="s">
        <v>96</v>
      </c>
    </row>
    <row r="101" spans="1:26" x14ac:dyDescent="0.2">
      <c r="A101" t="s">
        <v>404</v>
      </c>
      <c r="B101" t="s">
        <v>335</v>
      </c>
      <c r="C101" t="s">
        <v>96</v>
      </c>
      <c r="D101" t="s">
        <v>234</v>
      </c>
      <c r="E101" t="s">
        <v>405</v>
      </c>
      <c r="F101" t="s">
        <v>136</v>
      </c>
      <c r="G101" t="s">
        <v>227</v>
      </c>
      <c r="H101" t="s">
        <v>78</v>
      </c>
      <c r="I101" t="s">
        <v>99</v>
      </c>
      <c r="J101" s="3">
        <v>42350</v>
      </c>
      <c r="K101">
        <v>10.1</v>
      </c>
      <c r="L101">
        <v>58</v>
      </c>
      <c r="M101" s="4">
        <v>14300</v>
      </c>
      <c r="N101" s="4">
        <v>221213</v>
      </c>
      <c r="O101" t="s">
        <v>68</v>
      </c>
      <c r="P101" t="s">
        <v>69</v>
      </c>
      <c r="Q101">
        <v>3.61</v>
      </c>
      <c r="R101">
        <v>73</v>
      </c>
      <c r="S101">
        <v>20</v>
      </c>
      <c r="T101" t="s">
        <v>69</v>
      </c>
      <c r="U101">
        <v>8</v>
      </c>
      <c r="V101">
        <v>0</v>
      </c>
      <c r="W101" t="s">
        <v>70</v>
      </c>
      <c r="X101" t="s">
        <v>69</v>
      </c>
      <c r="Y101" t="s">
        <v>71</v>
      </c>
      <c r="Z101" t="s">
        <v>96</v>
      </c>
    </row>
    <row r="102" spans="1:26" x14ac:dyDescent="0.2">
      <c r="A102" t="s">
        <v>406</v>
      </c>
      <c r="B102" t="s">
        <v>407</v>
      </c>
      <c r="C102" t="s">
        <v>96</v>
      </c>
      <c r="D102" t="s">
        <v>234</v>
      </c>
      <c r="E102" t="s">
        <v>408</v>
      </c>
      <c r="F102" t="s">
        <v>120</v>
      </c>
      <c r="G102" t="s">
        <v>65</v>
      </c>
      <c r="H102" t="s">
        <v>66</v>
      </c>
      <c r="I102" t="s">
        <v>79</v>
      </c>
      <c r="J102" s="3">
        <v>43252</v>
      </c>
      <c r="K102">
        <v>7.6</v>
      </c>
      <c r="L102">
        <v>42</v>
      </c>
      <c r="M102" s="4">
        <v>7700</v>
      </c>
      <c r="N102" s="4">
        <v>112797</v>
      </c>
      <c r="O102" t="s">
        <v>68</v>
      </c>
      <c r="P102" t="s">
        <v>69</v>
      </c>
      <c r="Q102">
        <v>2.79</v>
      </c>
      <c r="R102">
        <v>63</v>
      </c>
      <c r="S102">
        <v>37</v>
      </c>
      <c r="T102" t="s">
        <v>69</v>
      </c>
      <c r="U102">
        <v>7</v>
      </c>
      <c r="V102">
        <v>8</v>
      </c>
      <c r="W102" t="s">
        <v>70</v>
      </c>
      <c r="X102" t="s">
        <v>68</v>
      </c>
      <c r="Y102" t="s">
        <v>71</v>
      </c>
      <c r="Z102" t="s">
        <v>96</v>
      </c>
    </row>
    <row r="103" spans="1:26" x14ac:dyDescent="0.2">
      <c r="A103" t="s">
        <v>409</v>
      </c>
      <c r="B103" t="s">
        <v>255</v>
      </c>
      <c r="C103" t="s">
        <v>74</v>
      </c>
      <c r="D103" t="s">
        <v>75</v>
      </c>
      <c r="E103" t="s">
        <v>410</v>
      </c>
      <c r="F103" t="s">
        <v>92</v>
      </c>
      <c r="G103" t="s">
        <v>65</v>
      </c>
      <c r="H103" t="s">
        <v>66</v>
      </c>
      <c r="I103" t="s">
        <v>105</v>
      </c>
      <c r="J103" s="3">
        <v>44576</v>
      </c>
      <c r="K103">
        <v>4</v>
      </c>
      <c r="L103">
        <v>26</v>
      </c>
      <c r="M103" s="4">
        <v>3900</v>
      </c>
      <c r="N103" s="4">
        <v>59117</v>
      </c>
      <c r="O103" t="s">
        <v>68</v>
      </c>
      <c r="P103" t="s">
        <v>68</v>
      </c>
      <c r="Q103">
        <v>2.87</v>
      </c>
      <c r="R103">
        <v>56</v>
      </c>
      <c r="S103">
        <v>22</v>
      </c>
      <c r="T103" t="s">
        <v>69</v>
      </c>
      <c r="U103">
        <v>11</v>
      </c>
      <c r="V103">
        <v>18</v>
      </c>
      <c r="W103" t="s">
        <v>70</v>
      </c>
      <c r="X103" t="s">
        <v>68</v>
      </c>
      <c r="Y103" t="s">
        <v>86</v>
      </c>
      <c r="Z103" t="s">
        <v>74</v>
      </c>
    </row>
    <row r="104" spans="1:26" x14ac:dyDescent="0.2">
      <c r="A104" t="s">
        <v>411</v>
      </c>
      <c r="B104" t="s">
        <v>412</v>
      </c>
      <c r="C104" t="s">
        <v>124</v>
      </c>
      <c r="D104" t="s">
        <v>125</v>
      </c>
      <c r="E104" t="s">
        <v>126</v>
      </c>
      <c r="F104" t="s">
        <v>64</v>
      </c>
      <c r="G104" t="s">
        <v>65</v>
      </c>
      <c r="H104" t="s">
        <v>66</v>
      </c>
      <c r="I104" t="s">
        <v>79</v>
      </c>
      <c r="J104" s="3">
        <v>41341</v>
      </c>
      <c r="K104">
        <v>12.8</v>
      </c>
      <c r="L104">
        <v>41</v>
      </c>
      <c r="M104" s="4">
        <v>6700</v>
      </c>
      <c r="N104" s="4">
        <v>108827</v>
      </c>
      <c r="O104" t="s">
        <v>68</v>
      </c>
      <c r="P104" t="s">
        <v>68</v>
      </c>
      <c r="Q104">
        <v>3.22</v>
      </c>
      <c r="R104">
        <v>61</v>
      </c>
      <c r="S104">
        <v>21</v>
      </c>
      <c r="T104" t="s">
        <v>69</v>
      </c>
      <c r="U104">
        <v>7</v>
      </c>
      <c r="V104">
        <v>6</v>
      </c>
      <c r="W104" t="s">
        <v>70</v>
      </c>
      <c r="X104" t="s">
        <v>68</v>
      </c>
      <c r="Y104" t="s">
        <v>71</v>
      </c>
      <c r="Z104" t="s">
        <v>124</v>
      </c>
    </row>
    <row r="105" spans="1:26" x14ac:dyDescent="0.2">
      <c r="A105" t="s">
        <v>413</v>
      </c>
      <c r="B105" t="s">
        <v>414</v>
      </c>
      <c r="C105" t="s">
        <v>102</v>
      </c>
      <c r="D105" t="s">
        <v>183</v>
      </c>
      <c r="E105" t="s">
        <v>415</v>
      </c>
      <c r="F105" t="s">
        <v>77</v>
      </c>
      <c r="G105" t="s">
        <v>85</v>
      </c>
      <c r="H105" t="s">
        <v>78</v>
      </c>
      <c r="I105" t="s">
        <v>67</v>
      </c>
      <c r="J105" s="3">
        <v>42539</v>
      </c>
      <c r="K105">
        <v>9.5</v>
      </c>
      <c r="L105">
        <v>45</v>
      </c>
      <c r="M105" s="4">
        <v>9800</v>
      </c>
      <c r="N105" s="4">
        <v>150636</v>
      </c>
      <c r="O105" t="s">
        <v>68</v>
      </c>
      <c r="P105" t="s">
        <v>69</v>
      </c>
      <c r="Q105">
        <v>3.32</v>
      </c>
      <c r="R105">
        <v>48</v>
      </c>
      <c r="S105">
        <v>31</v>
      </c>
      <c r="T105" t="s">
        <v>69</v>
      </c>
      <c r="U105">
        <v>1</v>
      </c>
      <c r="V105">
        <v>32</v>
      </c>
      <c r="W105" t="s">
        <v>70</v>
      </c>
      <c r="X105" t="s">
        <v>68</v>
      </c>
      <c r="Y105" t="s">
        <v>86</v>
      </c>
      <c r="Z105" t="s">
        <v>102</v>
      </c>
    </row>
    <row r="106" spans="1:26" x14ac:dyDescent="0.2">
      <c r="A106" t="s">
        <v>416</v>
      </c>
      <c r="B106" t="s">
        <v>417</v>
      </c>
      <c r="C106" t="s">
        <v>124</v>
      </c>
      <c r="D106" t="s">
        <v>391</v>
      </c>
      <c r="E106" t="s">
        <v>418</v>
      </c>
      <c r="F106" t="s">
        <v>64</v>
      </c>
      <c r="G106" t="s">
        <v>65</v>
      </c>
      <c r="H106" t="s">
        <v>66</v>
      </c>
      <c r="I106" t="s">
        <v>115</v>
      </c>
      <c r="J106" s="3">
        <v>43056</v>
      </c>
      <c r="K106">
        <v>8.1</v>
      </c>
      <c r="L106">
        <v>30</v>
      </c>
      <c r="M106" s="4">
        <v>7600</v>
      </c>
      <c r="N106" s="4">
        <v>117358</v>
      </c>
      <c r="O106" t="s">
        <v>68</v>
      </c>
      <c r="P106" t="s">
        <v>68</v>
      </c>
      <c r="Q106">
        <v>2.2999999999999998</v>
      </c>
      <c r="R106">
        <v>64</v>
      </c>
      <c r="S106">
        <v>28</v>
      </c>
      <c r="T106" t="s">
        <v>69</v>
      </c>
      <c r="U106">
        <v>0</v>
      </c>
      <c r="V106">
        <v>28</v>
      </c>
      <c r="W106" t="s">
        <v>70</v>
      </c>
      <c r="X106" t="s">
        <v>68</v>
      </c>
      <c r="Y106" t="s">
        <v>86</v>
      </c>
      <c r="Z106" t="s">
        <v>124</v>
      </c>
    </row>
    <row r="107" spans="1:26" x14ac:dyDescent="0.2">
      <c r="A107" t="s">
        <v>419</v>
      </c>
      <c r="B107" t="s">
        <v>420</v>
      </c>
      <c r="C107" t="s">
        <v>12</v>
      </c>
      <c r="D107" t="s">
        <v>421</v>
      </c>
      <c r="E107" t="s">
        <v>422</v>
      </c>
      <c r="F107" t="s">
        <v>77</v>
      </c>
      <c r="G107" t="s">
        <v>65</v>
      </c>
      <c r="H107" t="s">
        <v>78</v>
      </c>
      <c r="I107" t="s">
        <v>67</v>
      </c>
      <c r="J107" s="3">
        <v>41262</v>
      </c>
      <c r="K107">
        <v>13</v>
      </c>
      <c r="L107">
        <v>40</v>
      </c>
      <c r="M107" s="4">
        <v>9600</v>
      </c>
      <c r="N107" s="4">
        <v>140719</v>
      </c>
      <c r="O107" t="s">
        <v>68</v>
      </c>
      <c r="P107" t="s">
        <v>68</v>
      </c>
      <c r="Q107">
        <v>2.59</v>
      </c>
      <c r="R107">
        <v>54</v>
      </c>
      <c r="S107">
        <v>29</v>
      </c>
      <c r="T107" t="s">
        <v>69</v>
      </c>
      <c r="U107">
        <v>1</v>
      </c>
      <c r="V107">
        <v>13</v>
      </c>
      <c r="W107" t="s">
        <v>70</v>
      </c>
      <c r="X107" t="s">
        <v>68</v>
      </c>
      <c r="Y107" t="s">
        <v>71</v>
      </c>
      <c r="Z107" t="s">
        <v>12</v>
      </c>
    </row>
    <row r="108" spans="1:26" x14ac:dyDescent="0.2">
      <c r="A108" t="s">
        <v>423</v>
      </c>
      <c r="B108" t="s">
        <v>424</v>
      </c>
      <c r="C108" t="s">
        <v>89</v>
      </c>
      <c r="D108" t="s">
        <v>90</v>
      </c>
      <c r="E108" t="s">
        <v>348</v>
      </c>
      <c r="F108" t="s">
        <v>77</v>
      </c>
      <c r="G108" t="s">
        <v>65</v>
      </c>
      <c r="H108" t="s">
        <v>66</v>
      </c>
      <c r="I108" t="s">
        <v>99</v>
      </c>
      <c r="J108" s="3">
        <v>42328</v>
      </c>
      <c r="K108">
        <v>10.1</v>
      </c>
      <c r="L108">
        <v>39</v>
      </c>
      <c r="M108" s="4">
        <v>11900</v>
      </c>
      <c r="N108" s="4">
        <v>191053</v>
      </c>
      <c r="O108" t="s">
        <v>68</v>
      </c>
      <c r="P108" t="s">
        <v>69</v>
      </c>
      <c r="Q108">
        <v>2.29</v>
      </c>
      <c r="R108">
        <v>48</v>
      </c>
      <c r="S108">
        <v>23</v>
      </c>
      <c r="T108" t="s">
        <v>69</v>
      </c>
      <c r="U108">
        <v>5</v>
      </c>
      <c r="V108">
        <v>20</v>
      </c>
      <c r="W108" t="s">
        <v>70</v>
      </c>
      <c r="X108" t="s">
        <v>68</v>
      </c>
      <c r="Y108" t="s">
        <v>86</v>
      </c>
      <c r="Z108" t="s">
        <v>89</v>
      </c>
    </row>
    <row r="109" spans="1:26" x14ac:dyDescent="0.2">
      <c r="A109" t="s">
        <v>425</v>
      </c>
      <c r="B109" t="s">
        <v>426</v>
      </c>
      <c r="C109" t="s">
        <v>74</v>
      </c>
      <c r="D109" t="s">
        <v>313</v>
      </c>
      <c r="E109" t="s">
        <v>427</v>
      </c>
      <c r="F109" t="s">
        <v>77</v>
      </c>
      <c r="G109" t="s">
        <v>65</v>
      </c>
      <c r="H109" t="s">
        <v>78</v>
      </c>
      <c r="I109" t="s">
        <v>79</v>
      </c>
      <c r="J109" s="3">
        <v>45240</v>
      </c>
      <c r="K109">
        <v>2.1</v>
      </c>
      <c r="L109">
        <v>30</v>
      </c>
      <c r="M109" s="4">
        <v>7700</v>
      </c>
      <c r="N109" s="4">
        <v>117004</v>
      </c>
      <c r="O109" t="s">
        <v>68</v>
      </c>
      <c r="P109" t="s">
        <v>68</v>
      </c>
      <c r="Q109">
        <v>3.47</v>
      </c>
      <c r="R109">
        <v>61</v>
      </c>
      <c r="S109">
        <v>2</v>
      </c>
      <c r="T109" t="s">
        <v>68</v>
      </c>
      <c r="U109">
        <v>8</v>
      </c>
      <c r="V109">
        <v>44</v>
      </c>
      <c r="W109" t="s">
        <v>70</v>
      </c>
      <c r="X109" t="s">
        <v>68</v>
      </c>
      <c r="Y109" t="s">
        <v>86</v>
      </c>
      <c r="Z109" t="s">
        <v>74</v>
      </c>
    </row>
    <row r="110" spans="1:26" x14ac:dyDescent="0.2">
      <c r="A110" t="s">
        <v>428</v>
      </c>
      <c r="B110" t="s">
        <v>429</v>
      </c>
      <c r="C110" t="s">
        <v>143</v>
      </c>
      <c r="D110" t="s">
        <v>144</v>
      </c>
      <c r="E110" t="s">
        <v>226</v>
      </c>
      <c r="F110" t="s">
        <v>174</v>
      </c>
      <c r="G110" t="s">
        <v>85</v>
      </c>
      <c r="H110" t="s">
        <v>78</v>
      </c>
      <c r="I110" t="s">
        <v>67</v>
      </c>
      <c r="J110" s="3">
        <v>43865</v>
      </c>
      <c r="K110">
        <v>5.9</v>
      </c>
      <c r="L110">
        <v>38</v>
      </c>
      <c r="M110" s="4">
        <v>31200</v>
      </c>
      <c r="N110" s="4">
        <v>469039</v>
      </c>
      <c r="O110" t="s">
        <v>69</v>
      </c>
      <c r="P110" t="s">
        <v>69</v>
      </c>
      <c r="Q110">
        <v>2.35</v>
      </c>
      <c r="R110">
        <v>60</v>
      </c>
      <c r="S110">
        <v>28</v>
      </c>
      <c r="T110" t="s">
        <v>69</v>
      </c>
      <c r="U110">
        <v>8</v>
      </c>
      <c r="V110">
        <v>0</v>
      </c>
      <c r="W110" t="s">
        <v>69</v>
      </c>
      <c r="X110" t="s">
        <v>68</v>
      </c>
      <c r="Y110" t="s">
        <v>71</v>
      </c>
      <c r="Z110" t="s">
        <v>143</v>
      </c>
    </row>
    <row r="111" spans="1:26" x14ac:dyDescent="0.2">
      <c r="A111" t="s">
        <v>430</v>
      </c>
      <c r="B111" t="s">
        <v>377</v>
      </c>
      <c r="C111" t="s">
        <v>124</v>
      </c>
      <c r="D111" t="s">
        <v>125</v>
      </c>
      <c r="E111" t="s">
        <v>431</v>
      </c>
      <c r="F111" t="s">
        <v>77</v>
      </c>
      <c r="G111" t="s">
        <v>85</v>
      </c>
      <c r="H111" t="s">
        <v>78</v>
      </c>
      <c r="I111" t="s">
        <v>67</v>
      </c>
      <c r="J111" s="3">
        <v>43325</v>
      </c>
      <c r="K111">
        <v>7.4</v>
      </c>
      <c r="L111">
        <v>41</v>
      </c>
      <c r="M111" s="4">
        <v>9900</v>
      </c>
      <c r="N111" s="4">
        <v>141370</v>
      </c>
      <c r="O111" t="s">
        <v>68</v>
      </c>
      <c r="P111" t="s">
        <v>68</v>
      </c>
      <c r="Q111">
        <v>3.2</v>
      </c>
      <c r="R111">
        <v>85</v>
      </c>
      <c r="S111">
        <v>22</v>
      </c>
      <c r="T111" t="s">
        <v>69</v>
      </c>
      <c r="U111">
        <v>9</v>
      </c>
      <c r="V111">
        <v>0</v>
      </c>
      <c r="W111" t="s">
        <v>70</v>
      </c>
      <c r="X111" t="s">
        <v>68</v>
      </c>
      <c r="Y111" t="s">
        <v>71</v>
      </c>
      <c r="Z111" t="s">
        <v>124</v>
      </c>
    </row>
    <row r="112" spans="1:26" x14ac:dyDescent="0.2">
      <c r="A112" t="s">
        <v>432</v>
      </c>
      <c r="B112" t="s">
        <v>257</v>
      </c>
      <c r="C112" t="s">
        <v>108</v>
      </c>
      <c r="D112" t="s">
        <v>194</v>
      </c>
      <c r="E112" t="s">
        <v>381</v>
      </c>
      <c r="F112" t="s">
        <v>77</v>
      </c>
      <c r="G112" t="s">
        <v>65</v>
      </c>
      <c r="H112" t="s">
        <v>78</v>
      </c>
      <c r="I112" t="s">
        <v>79</v>
      </c>
      <c r="J112" s="3">
        <v>45863</v>
      </c>
      <c r="K112">
        <v>0.4</v>
      </c>
      <c r="L112">
        <v>47</v>
      </c>
      <c r="M112" s="4">
        <v>10900</v>
      </c>
      <c r="N112" s="4">
        <v>156301</v>
      </c>
      <c r="O112" t="s">
        <v>68</v>
      </c>
      <c r="P112" t="s">
        <v>69</v>
      </c>
      <c r="Q112">
        <v>2.42</v>
      </c>
      <c r="R112">
        <v>54</v>
      </c>
      <c r="S112">
        <v>19</v>
      </c>
      <c r="T112" t="s">
        <v>69</v>
      </c>
      <c r="U112">
        <v>2</v>
      </c>
      <c r="V112">
        <v>58</v>
      </c>
      <c r="W112" t="s">
        <v>70</v>
      </c>
      <c r="X112" t="s">
        <v>68</v>
      </c>
      <c r="Y112" t="s">
        <v>86</v>
      </c>
      <c r="Z112" t="s">
        <v>108</v>
      </c>
    </row>
    <row r="113" spans="1:26" x14ac:dyDescent="0.2">
      <c r="A113" t="s">
        <v>433</v>
      </c>
      <c r="B113" t="s">
        <v>434</v>
      </c>
      <c r="C113" t="s">
        <v>108</v>
      </c>
      <c r="D113" t="s">
        <v>194</v>
      </c>
      <c r="E113" t="s">
        <v>381</v>
      </c>
      <c r="F113" t="s">
        <v>77</v>
      </c>
      <c r="G113" t="s">
        <v>85</v>
      </c>
      <c r="H113" t="s">
        <v>78</v>
      </c>
      <c r="I113" t="s">
        <v>67</v>
      </c>
      <c r="J113" s="3">
        <v>43580</v>
      </c>
      <c r="K113">
        <v>6.7</v>
      </c>
      <c r="L113">
        <v>33</v>
      </c>
      <c r="M113" s="4">
        <v>9500</v>
      </c>
      <c r="N113" s="4">
        <v>141167</v>
      </c>
      <c r="O113" t="s">
        <v>68</v>
      </c>
      <c r="P113" t="s">
        <v>69</v>
      </c>
      <c r="Q113">
        <v>2.71</v>
      </c>
      <c r="R113">
        <v>63</v>
      </c>
      <c r="S113">
        <v>13</v>
      </c>
      <c r="T113" t="s">
        <v>69</v>
      </c>
      <c r="U113">
        <v>7</v>
      </c>
      <c r="V113">
        <v>28</v>
      </c>
      <c r="W113" t="s">
        <v>70</v>
      </c>
      <c r="X113" t="s">
        <v>68</v>
      </c>
      <c r="Y113" t="s">
        <v>71</v>
      </c>
      <c r="Z113" t="s">
        <v>108</v>
      </c>
    </row>
    <row r="114" spans="1:26" x14ac:dyDescent="0.2">
      <c r="A114" t="s">
        <v>435</v>
      </c>
      <c r="B114" t="s">
        <v>436</v>
      </c>
      <c r="C114" t="s">
        <v>108</v>
      </c>
      <c r="D114" t="s">
        <v>194</v>
      </c>
      <c r="E114" t="s">
        <v>296</v>
      </c>
      <c r="F114" t="s">
        <v>120</v>
      </c>
      <c r="G114" t="s">
        <v>85</v>
      </c>
      <c r="H114" t="s">
        <v>78</v>
      </c>
      <c r="I114" t="s">
        <v>115</v>
      </c>
      <c r="J114" s="3">
        <v>41892</v>
      </c>
      <c r="K114">
        <v>11.3</v>
      </c>
      <c r="L114">
        <v>24</v>
      </c>
      <c r="M114" s="4">
        <v>6800</v>
      </c>
      <c r="N114" s="4">
        <v>108645</v>
      </c>
      <c r="O114" t="s">
        <v>68</v>
      </c>
      <c r="P114" t="s">
        <v>69</v>
      </c>
      <c r="Q114">
        <v>2.4500000000000002</v>
      </c>
      <c r="R114">
        <v>58</v>
      </c>
      <c r="S114">
        <v>29</v>
      </c>
      <c r="T114" t="s">
        <v>69</v>
      </c>
      <c r="U114">
        <v>3</v>
      </c>
      <c r="V114">
        <v>15</v>
      </c>
      <c r="W114" t="s">
        <v>70</v>
      </c>
      <c r="X114" t="s">
        <v>68</v>
      </c>
      <c r="Y114" t="s">
        <v>71</v>
      </c>
      <c r="Z114" t="s">
        <v>108</v>
      </c>
    </row>
    <row r="115" spans="1:26" x14ac:dyDescent="0.2">
      <c r="A115" t="s">
        <v>437</v>
      </c>
      <c r="B115" t="s">
        <v>399</v>
      </c>
      <c r="C115" t="s">
        <v>74</v>
      </c>
      <c r="D115" t="s">
        <v>118</v>
      </c>
      <c r="E115" t="s">
        <v>438</v>
      </c>
      <c r="F115" t="s">
        <v>64</v>
      </c>
      <c r="G115" t="s">
        <v>65</v>
      </c>
      <c r="H115" t="s">
        <v>66</v>
      </c>
      <c r="I115" t="s">
        <v>67</v>
      </c>
      <c r="J115" s="3">
        <v>44931</v>
      </c>
      <c r="K115">
        <v>3</v>
      </c>
      <c r="L115">
        <v>34</v>
      </c>
      <c r="M115" s="4">
        <v>7100</v>
      </c>
      <c r="N115" s="4">
        <v>115329</v>
      </c>
      <c r="O115" t="s">
        <v>68</v>
      </c>
      <c r="P115" t="s">
        <v>69</v>
      </c>
      <c r="Q115">
        <v>2.2599999999999998</v>
      </c>
      <c r="R115">
        <v>46</v>
      </c>
      <c r="S115">
        <v>36</v>
      </c>
      <c r="T115" t="s">
        <v>69</v>
      </c>
      <c r="U115">
        <v>0</v>
      </c>
      <c r="V115">
        <v>27</v>
      </c>
      <c r="W115" t="s">
        <v>70</v>
      </c>
      <c r="X115" t="s">
        <v>68</v>
      </c>
      <c r="Y115" t="s">
        <v>86</v>
      </c>
      <c r="Z115" t="s">
        <v>74</v>
      </c>
    </row>
    <row r="116" spans="1:26" x14ac:dyDescent="0.2">
      <c r="A116" t="s">
        <v>439</v>
      </c>
      <c r="B116" t="s">
        <v>440</v>
      </c>
      <c r="C116" t="s">
        <v>12</v>
      </c>
      <c r="D116" t="s">
        <v>421</v>
      </c>
      <c r="E116" t="s">
        <v>441</v>
      </c>
      <c r="F116" t="s">
        <v>64</v>
      </c>
      <c r="G116" t="s">
        <v>65</v>
      </c>
      <c r="H116" t="s">
        <v>78</v>
      </c>
      <c r="I116" t="s">
        <v>67</v>
      </c>
      <c r="J116" s="3">
        <v>42247</v>
      </c>
      <c r="K116">
        <v>10.3</v>
      </c>
      <c r="L116">
        <v>37</v>
      </c>
      <c r="M116" s="4">
        <v>7000</v>
      </c>
      <c r="N116" s="4">
        <v>102146</v>
      </c>
      <c r="O116" t="s">
        <v>68</v>
      </c>
      <c r="P116" t="s">
        <v>69</v>
      </c>
      <c r="Q116">
        <v>4</v>
      </c>
      <c r="R116">
        <v>59</v>
      </c>
      <c r="S116">
        <v>38</v>
      </c>
      <c r="T116" t="s">
        <v>69</v>
      </c>
      <c r="U116">
        <v>8</v>
      </c>
      <c r="V116">
        <v>0</v>
      </c>
      <c r="W116" t="s">
        <v>70</v>
      </c>
      <c r="X116" t="s">
        <v>69</v>
      </c>
      <c r="Y116" t="s">
        <v>71</v>
      </c>
      <c r="Z116" t="s">
        <v>12</v>
      </c>
    </row>
    <row r="117" spans="1:26" x14ac:dyDescent="0.2">
      <c r="A117" t="s">
        <v>442</v>
      </c>
      <c r="B117" t="s">
        <v>443</v>
      </c>
      <c r="C117" t="s">
        <v>143</v>
      </c>
      <c r="D117" t="s">
        <v>207</v>
      </c>
      <c r="E117" t="s">
        <v>444</v>
      </c>
      <c r="F117" t="s">
        <v>92</v>
      </c>
      <c r="G117" t="s">
        <v>65</v>
      </c>
      <c r="H117" t="s">
        <v>78</v>
      </c>
      <c r="I117" t="s">
        <v>99</v>
      </c>
      <c r="J117" s="3">
        <v>42734</v>
      </c>
      <c r="K117">
        <v>9</v>
      </c>
      <c r="L117">
        <v>52</v>
      </c>
      <c r="M117" s="4">
        <v>4600</v>
      </c>
      <c r="N117" s="4">
        <v>70143</v>
      </c>
      <c r="O117" t="s">
        <v>69</v>
      </c>
      <c r="P117" t="s">
        <v>69</v>
      </c>
      <c r="Q117">
        <v>3.98</v>
      </c>
      <c r="R117">
        <v>67</v>
      </c>
      <c r="S117">
        <v>20</v>
      </c>
      <c r="T117" t="s">
        <v>69</v>
      </c>
      <c r="U117">
        <v>9</v>
      </c>
      <c r="V117">
        <v>17</v>
      </c>
      <c r="W117" t="s">
        <v>69</v>
      </c>
      <c r="X117" t="s">
        <v>69</v>
      </c>
      <c r="Y117" t="s">
        <v>71</v>
      </c>
      <c r="Z117" t="s">
        <v>143</v>
      </c>
    </row>
    <row r="118" spans="1:26" x14ac:dyDescent="0.2">
      <c r="A118" t="s">
        <v>445</v>
      </c>
      <c r="B118" t="s">
        <v>446</v>
      </c>
      <c r="C118" t="s">
        <v>61</v>
      </c>
      <c r="D118" t="s">
        <v>62</v>
      </c>
      <c r="E118" t="s">
        <v>447</v>
      </c>
      <c r="F118" t="s">
        <v>136</v>
      </c>
      <c r="G118" t="s">
        <v>65</v>
      </c>
      <c r="H118" t="s">
        <v>66</v>
      </c>
      <c r="I118" t="s">
        <v>111</v>
      </c>
      <c r="J118" s="3">
        <v>45909</v>
      </c>
      <c r="K118">
        <v>0.3</v>
      </c>
      <c r="L118">
        <v>37</v>
      </c>
      <c r="M118" s="4">
        <v>14300</v>
      </c>
      <c r="N118" s="4">
        <v>235141</v>
      </c>
      <c r="O118" t="s">
        <v>68</v>
      </c>
      <c r="P118" t="s">
        <v>68</v>
      </c>
      <c r="Q118">
        <v>3.2</v>
      </c>
      <c r="R118">
        <v>65</v>
      </c>
      <c r="S118">
        <v>33</v>
      </c>
      <c r="T118" t="s">
        <v>69</v>
      </c>
      <c r="U118">
        <v>4</v>
      </c>
      <c r="V118">
        <v>0</v>
      </c>
      <c r="W118" t="s">
        <v>70</v>
      </c>
      <c r="X118" t="s">
        <v>68</v>
      </c>
      <c r="Y118" t="s">
        <v>71</v>
      </c>
      <c r="Z118" t="s">
        <v>61</v>
      </c>
    </row>
    <row r="119" spans="1:26" x14ac:dyDescent="0.2">
      <c r="A119" t="s">
        <v>448</v>
      </c>
      <c r="B119" t="s">
        <v>449</v>
      </c>
      <c r="C119" t="s">
        <v>12</v>
      </c>
      <c r="D119" t="s">
        <v>82</v>
      </c>
      <c r="E119" t="s">
        <v>450</v>
      </c>
      <c r="F119" t="s">
        <v>136</v>
      </c>
      <c r="G119" t="s">
        <v>65</v>
      </c>
      <c r="H119" t="s">
        <v>66</v>
      </c>
      <c r="I119" t="s">
        <v>67</v>
      </c>
      <c r="J119" s="3">
        <v>41139</v>
      </c>
      <c r="K119">
        <v>13.4</v>
      </c>
      <c r="L119">
        <v>31</v>
      </c>
      <c r="M119" s="4">
        <v>13800</v>
      </c>
      <c r="N119" s="4">
        <v>218979</v>
      </c>
      <c r="O119" t="s">
        <v>68</v>
      </c>
      <c r="P119" t="s">
        <v>68</v>
      </c>
      <c r="Q119">
        <v>2.56</v>
      </c>
      <c r="R119">
        <v>69</v>
      </c>
      <c r="S119">
        <v>16</v>
      </c>
      <c r="T119" t="s">
        <v>69</v>
      </c>
      <c r="U119">
        <v>3</v>
      </c>
      <c r="V119">
        <v>0</v>
      </c>
      <c r="W119" t="s">
        <v>70</v>
      </c>
      <c r="X119" t="s">
        <v>68</v>
      </c>
      <c r="Y119" t="s">
        <v>71</v>
      </c>
      <c r="Z119" t="s">
        <v>12</v>
      </c>
    </row>
    <row r="120" spans="1:26" x14ac:dyDescent="0.2">
      <c r="A120" t="s">
        <v>451</v>
      </c>
      <c r="B120" t="s">
        <v>452</v>
      </c>
      <c r="C120" t="s">
        <v>74</v>
      </c>
      <c r="D120" t="s">
        <v>313</v>
      </c>
      <c r="E120" t="s">
        <v>358</v>
      </c>
      <c r="F120" t="s">
        <v>120</v>
      </c>
      <c r="G120" t="s">
        <v>215</v>
      </c>
      <c r="H120" t="s">
        <v>66</v>
      </c>
      <c r="I120" t="s">
        <v>67</v>
      </c>
      <c r="J120" s="3">
        <v>44118</v>
      </c>
      <c r="K120">
        <v>5.2</v>
      </c>
      <c r="L120">
        <v>26</v>
      </c>
      <c r="M120" s="4">
        <v>9100</v>
      </c>
      <c r="N120" s="4">
        <v>129311</v>
      </c>
      <c r="O120" t="s">
        <v>68</v>
      </c>
      <c r="P120" t="s">
        <v>68</v>
      </c>
      <c r="Q120">
        <v>2.87</v>
      </c>
      <c r="R120">
        <v>57</v>
      </c>
      <c r="S120">
        <v>52</v>
      </c>
      <c r="T120" t="s">
        <v>69</v>
      </c>
      <c r="U120">
        <v>9</v>
      </c>
      <c r="V120">
        <v>40</v>
      </c>
      <c r="W120" t="s">
        <v>70</v>
      </c>
      <c r="X120" t="s">
        <v>68</v>
      </c>
      <c r="Y120" t="s">
        <v>86</v>
      </c>
      <c r="Z120" t="s">
        <v>74</v>
      </c>
    </row>
    <row r="121" spans="1:26" x14ac:dyDescent="0.2">
      <c r="A121" t="s">
        <v>453</v>
      </c>
      <c r="B121" t="s">
        <v>217</v>
      </c>
      <c r="C121" t="s">
        <v>89</v>
      </c>
      <c r="D121" t="s">
        <v>154</v>
      </c>
      <c r="E121" t="s">
        <v>454</v>
      </c>
      <c r="F121" t="s">
        <v>92</v>
      </c>
      <c r="G121" t="s">
        <v>65</v>
      </c>
      <c r="H121" t="s">
        <v>78</v>
      </c>
      <c r="I121" t="s">
        <v>455</v>
      </c>
      <c r="J121" s="3">
        <v>42418</v>
      </c>
      <c r="K121">
        <v>9.9</v>
      </c>
      <c r="L121">
        <v>48</v>
      </c>
      <c r="M121" s="4">
        <v>4000</v>
      </c>
      <c r="N121" s="4">
        <v>59155</v>
      </c>
      <c r="O121" t="s">
        <v>68</v>
      </c>
      <c r="P121" t="s">
        <v>69</v>
      </c>
      <c r="Q121">
        <v>2.85</v>
      </c>
      <c r="R121">
        <v>64</v>
      </c>
      <c r="S121">
        <v>30</v>
      </c>
      <c r="T121" t="s">
        <v>69</v>
      </c>
      <c r="U121">
        <v>5</v>
      </c>
      <c r="V121">
        <v>19</v>
      </c>
      <c r="W121" t="s">
        <v>70</v>
      </c>
      <c r="X121" t="s">
        <v>68</v>
      </c>
      <c r="Y121" t="s">
        <v>71</v>
      </c>
      <c r="Z121" t="s">
        <v>89</v>
      </c>
    </row>
    <row r="122" spans="1:26" x14ac:dyDescent="0.2">
      <c r="A122" t="s">
        <v>456</v>
      </c>
      <c r="B122" t="s">
        <v>457</v>
      </c>
      <c r="C122" t="s">
        <v>102</v>
      </c>
      <c r="D122" t="s">
        <v>103</v>
      </c>
      <c r="E122" t="s">
        <v>458</v>
      </c>
      <c r="F122" t="s">
        <v>77</v>
      </c>
      <c r="G122" t="s">
        <v>65</v>
      </c>
      <c r="H122" t="s">
        <v>78</v>
      </c>
      <c r="I122" t="s">
        <v>115</v>
      </c>
      <c r="J122" s="3">
        <v>44112</v>
      </c>
      <c r="K122">
        <v>5.2</v>
      </c>
      <c r="L122">
        <v>39</v>
      </c>
      <c r="M122" s="4">
        <v>11200</v>
      </c>
      <c r="N122" s="4">
        <v>179187</v>
      </c>
      <c r="O122" t="s">
        <v>68</v>
      </c>
      <c r="P122" t="s">
        <v>69</v>
      </c>
      <c r="Q122">
        <v>3.85</v>
      </c>
      <c r="R122">
        <v>48</v>
      </c>
      <c r="S122">
        <v>19</v>
      </c>
      <c r="T122" t="s">
        <v>69</v>
      </c>
      <c r="U122">
        <v>0</v>
      </c>
      <c r="V122">
        <v>36</v>
      </c>
      <c r="W122" t="s">
        <v>70</v>
      </c>
      <c r="X122" t="s">
        <v>69</v>
      </c>
      <c r="Y122" t="s">
        <v>86</v>
      </c>
      <c r="Z122" t="s">
        <v>102</v>
      </c>
    </row>
    <row r="123" spans="1:26" x14ac:dyDescent="0.2">
      <c r="A123" t="s">
        <v>459</v>
      </c>
      <c r="B123" t="s">
        <v>460</v>
      </c>
      <c r="C123" t="s">
        <v>102</v>
      </c>
      <c r="D123" t="s">
        <v>339</v>
      </c>
      <c r="E123" t="s">
        <v>340</v>
      </c>
      <c r="F123" t="s">
        <v>77</v>
      </c>
      <c r="G123" t="s">
        <v>65</v>
      </c>
      <c r="H123" t="s">
        <v>78</v>
      </c>
      <c r="I123" t="s">
        <v>115</v>
      </c>
      <c r="J123" s="3">
        <v>45737</v>
      </c>
      <c r="K123">
        <v>0.8</v>
      </c>
      <c r="L123">
        <v>31</v>
      </c>
      <c r="M123" s="4">
        <v>9900</v>
      </c>
      <c r="N123" s="4">
        <v>147366</v>
      </c>
      <c r="O123" t="s">
        <v>68</v>
      </c>
      <c r="P123" t="s">
        <v>69</v>
      </c>
      <c r="Q123">
        <v>3.65</v>
      </c>
      <c r="R123">
        <v>69</v>
      </c>
      <c r="S123">
        <v>14</v>
      </c>
      <c r="T123" t="s">
        <v>69</v>
      </c>
      <c r="U123">
        <v>10</v>
      </c>
      <c r="V123">
        <v>25</v>
      </c>
      <c r="W123" t="s">
        <v>70</v>
      </c>
      <c r="X123" t="s">
        <v>69</v>
      </c>
      <c r="Y123" t="s">
        <v>71</v>
      </c>
      <c r="Z123" t="s">
        <v>102</v>
      </c>
    </row>
    <row r="124" spans="1:26" x14ac:dyDescent="0.2">
      <c r="A124" t="s">
        <v>461</v>
      </c>
      <c r="B124" t="s">
        <v>420</v>
      </c>
      <c r="C124" t="s">
        <v>89</v>
      </c>
      <c r="D124" t="s">
        <v>154</v>
      </c>
      <c r="E124" t="s">
        <v>155</v>
      </c>
      <c r="F124" t="s">
        <v>120</v>
      </c>
      <c r="G124" t="s">
        <v>65</v>
      </c>
      <c r="H124" t="s">
        <v>66</v>
      </c>
      <c r="I124" t="s">
        <v>148</v>
      </c>
      <c r="J124" s="3">
        <v>45583</v>
      </c>
      <c r="K124">
        <v>1.2</v>
      </c>
      <c r="L124">
        <v>39</v>
      </c>
      <c r="M124" s="4">
        <v>8500</v>
      </c>
      <c r="N124" s="4">
        <v>131025</v>
      </c>
      <c r="O124" t="s">
        <v>68</v>
      </c>
      <c r="P124" t="s">
        <v>69</v>
      </c>
      <c r="Q124">
        <v>3.69</v>
      </c>
      <c r="R124">
        <v>74</v>
      </c>
      <c r="S124">
        <v>42</v>
      </c>
      <c r="T124" t="s">
        <v>69</v>
      </c>
      <c r="U124">
        <v>9</v>
      </c>
      <c r="V124">
        <v>19</v>
      </c>
      <c r="W124" t="s">
        <v>70</v>
      </c>
      <c r="X124" t="s">
        <v>69</v>
      </c>
      <c r="Y124" t="s">
        <v>71</v>
      </c>
      <c r="Z124" t="s">
        <v>89</v>
      </c>
    </row>
    <row r="125" spans="1:26" x14ac:dyDescent="0.2">
      <c r="A125" t="s">
        <v>462</v>
      </c>
      <c r="B125" t="s">
        <v>221</v>
      </c>
      <c r="C125" t="s">
        <v>133</v>
      </c>
      <c r="D125" t="s">
        <v>213</v>
      </c>
      <c r="E125" t="s">
        <v>463</v>
      </c>
      <c r="F125" t="s">
        <v>120</v>
      </c>
      <c r="G125" t="s">
        <v>65</v>
      </c>
      <c r="H125" t="s">
        <v>78</v>
      </c>
      <c r="I125" t="s">
        <v>111</v>
      </c>
      <c r="J125" s="3">
        <v>41027</v>
      </c>
      <c r="K125">
        <v>13.7</v>
      </c>
      <c r="L125">
        <v>33</v>
      </c>
      <c r="M125" s="4">
        <v>8300</v>
      </c>
      <c r="N125" s="4">
        <v>122912</v>
      </c>
      <c r="O125" t="s">
        <v>68</v>
      </c>
      <c r="P125" t="s">
        <v>68</v>
      </c>
      <c r="Q125">
        <v>3.67</v>
      </c>
      <c r="R125">
        <v>62</v>
      </c>
      <c r="S125">
        <v>16</v>
      </c>
      <c r="T125" t="s">
        <v>69</v>
      </c>
      <c r="U125">
        <v>5</v>
      </c>
      <c r="V125">
        <v>5</v>
      </c>
      <c r="W125" t="s">
        <v>70</v>
      </c>
      <c r="X125" t="s">
        <v>69</v>
      </c>
      <c r="Y125" t="s">
        <v>71</v>
      </c>
      <c r="Z125" t="s">
        <v>133</v>
      </c>
    </row>
    <row r="126" spans="1:26" x14ac:dyDescent="0.2">
      <c r="A126" t="s">
        <v>464</v>
      </c>
      <c r="B126" t="s">
        <v>357</v>
      </c>
      <c r="C126" t="s">
        <v>124</v>
      </c>
      <c r="D126" t="s">
        <v>465</v>
      </c>
      <c r="E126" t="s">
        <v>466</v>
      </c>
      <c r="F126" t="s">
        <v>136</v>
      </c>
      <c r="G126" t="s">
        <v>85</v>
      </c>
      <c r="H126" t="s">
        <v>66</v>
      </c>
      <c r="I126" t="s">
        <v>467</v>
      </c>
      <c r="J126" s="3">
        <v>45530</v>
      </c>
      <c r="K126">
        <v>1.4</v>
      </c>
      <c r="L126">
        <v>33</v>
      </c>
      <c r="M126" s="4">
        <v>10500</v>
      </c>
      <c r="N126" s="4">
        <v>149933</v>
      </c>
      <c r="O126" t="s">
        <v>68</v>
      </c>
      <c r="P126" t="s">
        <v>68</v>
      </c>
      <c r="Q126">
        <v>3.3</v>
      </c>
      <c r="R126">
        <v>72</v>
      </c>
      <c r="S126">
        <v>27</v>
      </c>
      <c r="T126" t="s">
        <v>69</v>
      </c>
      <c r="U126">
        <v>10</v>
      </c>
      <c r="V126">
        <v>0</v>
      </c>
      <c r="W126" t="s">
        <v>70</v>
      </c>
      <c r="X126" t="s">
        <v>68</v>
      </c>
      <c r="Y126" t="s">
        <v>71</v>
      </c>
      <c r="Z126" t="s">
        <v>124</v>
      </c>
    </row>
    <row r="127" spans="1:26" x14ac:dyDescent="0.2">
      <c r="A127" t="s">
        <v>468</v>
      </c>
      <c r="B127" t="s">
        <v>327</v>
      </c>
      <c r="C127" t="s">
        <v>102</v>
      </c>
      <c r="D127" t="s">
        <v>339</v>
      </c>
      <c r="E127" t="s">
        <v>469</v>
      </c>
      <c r="F127" t="s">
        <v>120</v>
      </c>
      <c r="G127" t="s">
        <v>65</v>
      </c>
      <c r="H127" t="s">
        <v>66</v>
      </c>
      <c r="I127" t="s">
        <v>67</v>
      </c>
      <c r="J127" s="3">
        <v>44862</v>
      </c>
      <c r="K127">
        <v>3.2</v>
      </c>
      <c r="L127">
        <v>44</v>
      </c>
      <c r="M127" s="4">
        <v>8000</v>
      </c>
      <c r="N127" s="4">
        <v>118910</v>
      </c>
      <c r="O127" t="s">
        <v>68</v>
      </c>
      <c r="P127" t="s">
        <v>69</v>
      </c>
      <c r="Q127">
        <v>3.04</v>
      </c>
      <c r="R127">
        <v>59</v>
      </c>
      <c r="S127">
        <v>36</v>
      </c>
      <c r="T127" t="s">
        <v>69</v>
      </c>
      <c r="U127">
        <v>3</v>
      </c>
      <c r="V127">
        <v>0</v>
      </c>
      <c r="W127" t="s">
        <v>70</v>
      </c>
      <c r="X127" t="s">
        <v>68</v>
      </c>
      <c r="Y127" t="s">
        <v>71</v>
      </c>
      <c r="Z127" t="s">
        <v>102</v>
      </c>
    </row>
    <row r="128" spans="1:26" x14ac:dyDescent="0.2">
      <c r="A128" t="s">
        <v>470</v>
      </c>
      <c r="B128" t="s">
        <v>471</v>
      </c>
      <c r="C128" t="s">
        <v>102</v>
      </c>
      <c r="D128" t="s">
        <v>339</v>
      </c>
      <c r="E128" t="s">
        <v>472</v>
      </c>
      <c r="F128" t="s">
        <v>64</v>
      </c>
      <c r="G128" t="s">
        <v>65</v>
      </c>
      <c r="H128" t="s">
        <v>66</v>
      </c>
      <c r="I128" t="s">
        <v>79</v>
      </c>
      <c r="J128" s="3">
        <v>42556</v>
      </c>
      <c r="K128">
        <v>9.5</v>
      </c>
      <c r="L128">
        <v>46</v>
      </c>
      <c r="M128" s="4">
        <v>7500</v>
      </c>
      <c r="N128" s="4">
        <v>119566</v>
      </c>
      <c r="O128" t="s">
        <v>68</v>
      </c>
      <c r="P128" t="s">
        <v>69</v>
      </c>
      <c r="Q128">
        <v>3.66</v>
      </c>
      <c r="R128">
        <v>58</v>
      </c>
      <c r="S128">
        <v>37</v>
      </c>
      <c r="T128" t="s">
        <v>69</v>
      </c>
      <c r="U128">
        <v>0</v>
      </c>
      <c r="V128">
        <v>23</v>
      </c>
      <c r="W128" t="s">
        <v>70</v>
      </c>
      <c r="X128" t="s">
        <v>69</v>
      </c>
      <c r="Y128" t="s">
        <v>86</v>
      </c>
      <c r="Z128" t="s">
        <v>102</v>
      </c>
    </row>
    <row r="129" spans="1:26" x14ac:dyDescent="0.2">
      <c r="A129" t="s">
        <v>473</v>
      </c>
      <c r="B129" t="s">
        <v>474</v>
      </c>
      <c r="C129" t="s">
        <v>74</v>
      </c>
      <c r="D129" t="s">
        <v>75</v>
      </c>
      <c r="E129" t="s">
        <v>151</v>
      </c>
      <c r="F129" t="s">
        <v>84</v>
      </c>
      <c r="G129" t="s">
        <v>65</v>
      </c>
      <c r="H129" t="s">
        <v>78</v>
      </c>
      <c r="I129" t="s">
        <v>148</v>
      </c>
      <c r="J129" s="3">
        <v>41535</v>
      </c>
      <c r="K129">
        <v>12.3</v>
      </c>
      <c r="L129">
        <v>60</v>
      </c>
      <c r="M129" s="4">
        <v>15100</v>
      </c>
      <c r="N129" s="4">
        <v>219158</v>
      </c>
      <c r="O129" t="s">
        <v>69</v>
      </c>
      <c r="P129" t="s">
        <v>68</v>
      </c>
      <c r="Q129">
        <v>2.92</v>
      </c>
      <c r="R129">
        <v>61</v>
      </c>
      <c r="S129">
        <v>31</v>
      </c>
      <c r="T129" t="s">
        <v>69</v>
      </c>
      <c r="U129">
        <v>6</v>
      </c>
      <c r="V129">
        <v>0</v>
      </c>
      <c r="W129" t="s">
        <v>69</v>
      </c>
      <c r="X129" t="s">
        <v>68</v>
      </c>
      <c r="Y129" t="s">
        <v>71</v>
      </c>
      <c r="Z129" t="s">
        <v>74</v>
      </c>
    </row>
    <row r="130" spans="1:26" x14ac:dyDescent="0.2">
      <c r="A130" t="s">
        <v>475</v>
      </c>
      <c r="B130" t="s">
        <v>476</v>
      </c>
      <c r="C130" t="s">
        <v>108</v>
      </c>
      <c r="D130" t="s">
        <v>194</v>
      </c>
      <c r="E130" t="s">
        <v>381</v>
      </c>
      <c r="F130" t="s">
        <v>77</v>
      </c>
      <c r="G130" t="s">
        <v>65</v>
      </c>
      <c r="H130" t="s">
        <v>66</v>
      </c>
      <c r="I130" t="s">
        <v>67</v>
      </c>
      <c r="J130" s="3">
        <v>41690</v>
      </c>
      <c r="K130">
        <v>11.9</v>
      </c>
      <c r="L130">
        <v>55</v>
      </c>
      <c r="M130" s="4">
        <v>10700</v>
      </c>
      <c r="N130" s="4">
        <v>156388</v>
      </c>
      <c r="O130" t="s">
        <v>68</v>
      </c>
      <c r="P130" t="s">
        <v>69</v>
      </c>
      <c r="Q130">
        <v>3.1</v>
      </c>
      <c r="R130">
        <v>60</v>
      </c>
      <c r="S130">
        <v>34</v>
      </c>
      <c r="T130" t="s">
        <v>69</v>
      </c>
      <c r="U130">
        <v>0</v>
      </c>
      <c r="V130">
        <v>0</v>
      </c>
      <c r="W130" t="s">
        <v>70</v>
      </c>
      <c r="X130" t="s">
        <v>68</v>
      </c>
      <c r="Y130" t="s">
        <v>71</v>
      </c>
      <c r="Z130" t="s">
        <v>108</v>
      </c>
    </row>
    <row r="131" spans="1:26" x14ac:dyDescent="0.2">
      <c r="A131" t="s">
        <v>477</v>
      </c>
      <c r="B131" t="s">
        <v>172</v>
      </c>
      <c r="C131" t="s">
        <v>124</v>
      </c>
      <c r="D131" t="s">
        <v>243</v>
      </c>
      <c r="E131" t="s">
        <v>478</v>
      </c>
      <c r="F131" t="s">
        <v>120</v>
      </c>
      <c r="G131" t="s">
        <v>65</v>
      </c>
      <c r="H131" t="s">
        <v>78</v>
      </c>
      <c r="I131" t="s">
        <v>115</v>
      </c>
      <c r="J131" s="3">
        <v>42236</v>
      </c>
      <c r="K131">
        <v>10.4</v>
      </c>
      <c r="L131">
        <v>45</v>
      </c>
      <c r="M131" s="4">
        <v>9400</v>
      </c>
      <c r="N131" s="4">
        <v>142450</v>
      </c>
      <c r="O131" t="s">
        <v>69</v>
      </c>
      <c r="P131" t="s">
        <v>69</v>
      </c>
      <c r="Q131">
        <v>3.33</v>
      </c>
      <c r="R131">
        <v>52</v>
      </c>
      <c r="S131">
        <v>38</v>
      </c>
      <c r="T131" t="s">
        <v>69</v>
      </c>
      <c r="U131">
        <v>5</v>
      </c>
      <c r="V131">
        <v>4</v>
      </c>
      <c r="W131" t="s">
        <v>69</v>
      </c>
      <c r="X131" t="s">
        <v>68</v>
      </c>
      <c r="Y131" t="s">
        <v>71</v>
      </c>
      <c r="Z131" t="s">
        <v>124</v>
      </c>
    </row>
    <row r="132" spans="1:26" x14ac:dyDescent="0.2">
      <c r="A132" t="s">
        <v>479</v>
      </c>
      <c r="B132" t="s">
        <v>480</v>
      </c>
      <c r="C132" t="s">
        <v>102</v>
      </c>
      <c r="D132" t="s">
        <v>339</v>
      </c>
      <c r="E132" t="s">
        <v>472</v>
      </c>
      <c r="F132" t="s">
        <v>64</v>
      </c>
      <c r="G132" t="s">
        <v>65</v>
      </c>
      <c r="H132" t="s">
        <v>66</v>
      </c>
      <c r="I132" t="s">
        <v>148</v>
      </c>
      <c r="J132" s="3">
        <v>41029</v>
      </c>
      <c r="K132">
        <v>13.7</v>
      </c>
      <c r="L132">
        <v>23</v>
      </c>
      <c r="M132" s="4">
        <v>6300</v>
      </c>
      <c r="N132" s="4">
        <v>104275</v>
      </c>
      <c r="O132" t="s">
        <v>68</v>
      </c>
      <c r="P132" t="s">
        <v>69</v>
      </c>
      <c r="Q132">
        <v>2.92</v>
      </c>
      <c r="R132">
        <v>59</v>
      </c>
      <c r="S132">
        <v>11</v>
      </c>
      <c r="T132" t="s">
        <v>68</v>
      </c>
      <c r="U132">
        <v>7</v>
      </c>
      <c r="V132">
        <v>11</v>
      </c>
      <c r="W132" t="s">
        <v>70</v>
      </c>
      <c r="X132" t="s">
        <v>68</v>
      </c>
      <c r="Y132" t="s">
        <v>86</v>
      </c>
      <c r="Z132" t="s">
        <v>102</v>
      </c>
    </row>
    <row r="133" spans="1:26" x14ac:dyDescent="0.2">
      <c r="A133" t="s">
        <v>481</v>
      </c>
      <c r="B133" t="s">
        <v>482</v>
      </c>
      <c r="C133" t="s">
        <v>133</v>
      </c>
      <c r="D133" t="s">
        <v>287</v>
      </c>
      <c r="E133" t="s">
        <v>483</v>
      </c>
      <c r="F133" t="s">
        <v>136</v>
      </c>
      <c r="G133" t="s">
        <v>65</v>
      </c>
      <c r="H133" t="s">
        <v>78</v>
      </c>
      <c r="I133" t="s">
        <v>115</v>
      </c>
      <c r="J133" s="3">
        <v>43063</v>
      </c>
      <c r="K133">
        <v>8.1</v>
      </c>
      <c r="L133">
        <v>58</v>
      </c>
      <c r="M133" s="4">
        <v>13500</v>
      </c>
      <c r="N133" s="4">
        <v>210395</v>
      </c>
      <c r="O133" t="s">
        <v>68</v>
      </c>
      <c r="P133" t="s">
        <v>69</v>
      </c>
      <c r="Q133">
        <v>2.59</v>
      </c>
      <c r="R133">
        <v>60</v>
      </c>
      <c r="S133">
        <v>21</v>
      </c>
      <c r="T133" t="s">
        <v>69</v>
      </c>
      <c r="U133">
        <v>11</v>
      </c>
      <c r="V133">
        <v>34</v>
      </c>
      <c r="W133" t="s">
        <v>70</v>
      </c>
      <c r="X133" t="s">
        <v>68</v>
      </c>
      <c r="Y133" t="s">
        <v>71</v>
      </c>
      <c r="Z133" t="s">
        <v>133</v>
      </c>
    </row>
    <row r="134" spans="1:26" x14ac:dyDescent="0.2">
      <c r="A134" t="s">
        <v>484</v>
      </c>
      <c r="B134" t="s">
        <v>485</v>
      </c>
      <c r="C134" t="s">
        <v>12</v>
      </c>
      <c r="D134" t="s">
        <v>200</v>
      </c>
      <c r="E134" t="s">
        <v>486</v>
      </c>
      <c r="F134" t="s">
        <v>136</v>
      </c>
      <c r="G134" t="s">
        <v>65</v>
      </c>
      <c r="H134" t="s">
        <v>78</v>
      </c>
      <c r="I134" t="s">
        <v>121</v>
      </c>
      <c r="J134" s="3">
        <v>45002</v>
      </c>
      <c r="K134">
        <v>2.8</v>
      </c>
      <c r="L134">
        <v>42</v>
      </c>
      <c r="M134" s="4">
        <v>15600</v>
      </c>
      <c r="N134" s="4">
        <v>256893</v>
      </c>
      <c r="O134" t="s">
        <v>68</v>
      </c>
      <c r="P134" t="s">
        <v>68</v>
      </c>
      <c r="Q134">
        <v>3.4</v>
      </c>
      <c r="R134">
        <v>69</v>
      </c>
      <c r="S134">
        <v>35</v>
      </c>
      <c r="T134" t="s">
        <v>69</v>
      </c>
      <c r="U134">
        <v>9</v>
      </c>
      <c r="V134">
        <v>32</v>
      </c>
      <c r="W134" t="s">
        <v>70</v>
      </c>
      <c r="X134" t="s">
        <v>68</v>
      </c>
      <c r="Y134" t="s">
        <v>71</v>
      </c>
      <c r="Z134" t="s">
        <v>12</v>
      </c>
    </row>
    <row r="135" spans="1:26" x14ac:dyDescent="0.2">
      <c r="A135" t="s">
        <v>487</v>
      </c>
      <c r="B135" t="s">
        <v>424</v>
      </c>
      <c r="C135" t="s">
        <v>143</v>
      </c>
      <c r="D135" t="s">
        <v>207</v>
      </c>
      <c r="E135" t="s">
        <v>208</v>
      </c>
      <c r="F135" t="s">
        <v>64</v>
      </c>
      <c r="G135" t="s">
        <v>65</v>
      </c>
      <c r="H135" t="s">
        <v>78</v>
      </c>
      <c r="I135" t="s">
        <v>93</v>
      </c>
      <c r="J135" s="3">
        <v>41285</v>
      </c>
      <c r="K135">
        <v>13</v>
      </c>
      <c r="L135">
        <v>31</v>
      </c>
      <c r="M135" s="4">
        <v>7400</v>
      </c>
      <c r="N135" s="4">
        <v>113333</v>
      </c>
      <c r="O135" t="s">
        <v>68</v>
      </c>
      <c r="P135" t="s">
        <v>69</v>
      </c>
      <c r="Q135">
        <v>3.23</v>
      </c>
      <c r="R135">
        <v>52</v>
      </c>
      <c r="S135">
        <v>28</v>
      </c>
      <c r="T135" t="s">
        <v>69</v>
      </c>
      <c r="U135">
        <v>2</v>
      </c>
      <c r="V135">
        <v>17</v>
      </c>
      <c r="W135" t="s">
        <v>70</v>
      </c>
      <c r="X135" t="s">
        <v>68</v>
      </c>
      <c r="Y135" t="s">
        <v>86</v>
      </c>
      <c r="Z135" t="s">
        <v>143</v>
      </c>
    </row>
    <row r="136" spans="1:26" x14ac:dyDescent="0.2">
      <c r="A136" t="s">
        <v>488</v>
      </c>
      <c r="B136" t="s">
        <v>471</v>
      </c>
      <c r="C136" t="s">
        <v>61</v>
      </c>
      <c r="D136" t="s">
        <v>218</v>
      </c>
      <c r="E136" t="s">
        <v>489</v>
      </c>
      <c r="F136" t="s">
        <v>174</v>
      </c>
      <c r="G136" t="s">
        <v>65</v>
      </c>
      <c r="H136" t="s">
        <v>78</v>
      </c>
      <c r="I136" t="s">
        <v>455</v>
      </c>
      <c r="J136" s="3">
        <v>42740</v>
      </c>
      <c r="K136">
        <v>9</v>
      </c>
      <c r="L136">
        <v>22</v>
      </c>
      <c r="M136" s="4">
        <v>33000</v>
      </c>
      <c r="N136" s="4">
        <v>492439</v>
      </c>
      <c r="O136" t="s">
        <v>69</v>
      </c>
      <c r="P136" t="s">
        <v>68</v>
      </c>
      <c r="Q136">
        <v>2.63</v>
      </c>
      <c r="R136">
        <v>63</v>
      </c>
      <c r="S136">
        <v>46</v>
      </c>
      <c r="T136" t="s">
        <v>69</v>
      </c>
      <c r="U136">
        <v>9</v>
      </c>
      <c r="V136">
        <v>18</v>
      </c>
      <c r="W136" t="s">
        <v>68</v>
      </c>
      <c r="X136" t="s">
        <v>68</v>
      </c>
      <c r="Y136" t="s">
        <v>71</v>
      </c>
      <c r="Z136" t="s">
        <v>61</v>
      </c>
    </row>
    <row r="137" spans="1:26" x14ac:dyDescent="0.2">
      <c r="A137" t="s">
        <v>490</v>
      </c>
      <c r="B137" t="s">
        <v>491</v>
      </c>
      <c r="C137" t="s">
        <v>12</v>
      </c>
      <c r="D137" t="s">
        <v>421</v>
      </c>
      <c r="E137" t="s">
        <v>492</v>
      </c>
      <c r="F137" t="s">
        <v>120</v>
      </c>
      <c r="G137" t="s">
        <v>65</v>
      </c>
      <c r="H137" t="s">
        <v>78</v>
      </c>
      <c r="I137" t="s">
        <v>111</v>
      </c>
      <c r="J137" s="3">
        <v>43350</v>
      </c>
      <c r="K137">
        <v>7.3</v>
      </c>
      <c r="L137">
        <v>57</v>
      </c>
      <c r="M137" s="4">
        <v>8000</v>
      </c>
      <c r="N137" s="4">
        <v>119850</v>
      </c>
      <c r="O137" t="s">
        <v>68</v>
      </c>
      <c r="P137" t="s">
        <v>68</v>
      </c>
      <c r="Q137">
        <v>3.19</v>
      </c>
      <c r="R137">
        <v>74</v>
      </c>
      <c r="S137">
        <v>24</v>
      </c>
      <c r="T137" t="s">
        <v>69</v>
      </c>
      <c r="U137">
        <v>3</v>
      </c>
      <c r="V137">
        <v>1</v>
      </c>
      <c r="W137" t="s">
        <v>70</v>
      </c>
      <c r="X137" t="s">
        <v>68</v>
      </c>
      <c r="Y137" t="s">
        <v>71</v>
      </c>
      <c r="Z137" t="s">
        <v>12</v>
      </c>
    </row>
    <row r="138" spans="1:26" x14ac:dyDescent="0.2">
      <c r="A138" t="s">
        <v>493</v>
      </c>
      <c r="B138" t="s">
        <v>414</v>
      </c>
      <c r="C138" t="s">
        <v>12</v>
      </c>
      <c r="D138" t="s">
        <v>82</v>
      </c>
      <c r="E138" t="s">
        <v>83</v>
      </c>
      <c r="F138" t="s">
        <v>84</v>
      </c>
      <c r="G138" t="s">
        <v>85</v>
      </c>
      <c r="H138" t="s">
        <v>66</v>
      </c>
      <c r="I138" t="s">
        <v>148</v>
      </c>
      <c r="J138" s="3">
        <v>42414</v>
      </c>
      <c r="K138">
        <v>9.9</v>
      </c>
      <c r="L138">
        <v>36</v>
      </c>
      <c r="M138" s="4">
        <v>20600</v>
      </c>
      <c r="N138" s="4">
        <v>297565</v>
      </c>
      <c r="O138" t="s">
        <v>69</v>
      </c>
      <c r="P138" t="s">
        <v>68</v>
      </c>
      <c r="Q138">
        <v>3.3</v>
      </c>
      <c r="R138">
        <v>69</v>
      </c>
      <c r="S138">
        <v>41</v>
      </c>
      <c r="T138" t="s">
        <v>69</v>
      </c>
      <c r="U138">
        <v>0</v>
      </c>
      <c r="V138">
        <v>29</v>
      </c>
      <c r="W138" t="s">
        <v>68</v>
      </c>
      <c r="X138" t="s">
        <v>68</v>
      </c>
      <c r="Y138" t="s">
        <v>71</v>
      </c>
      <c r="Z138" t="s">
        <v>12</v>
      </c>
    </row>
    <row r="139" spans="1:26" x14ac:dyDescent="0.2">
      <c r="A139" t="s">
        <v>494</v>
      </c>
      <c r="B139" t="s">
        <v>153</v>
      </c>
      <c r="C139" t="s">
        <v>102</v>
      </c>
      <c r="D139" t="s">
        <v>166</v>
      </c>
      <c r="E139" t="s">
        <v>495</v>
      </c>
      <c r="F139" t="s">
        <v>174</v>
      </c>
      <c r="G139" t="s">
        <v>65</v>
      </c>
      <c r="H139" t="s">
        <v>66</v>
      </c>
      <c r="I139" t="s">
        <v>111</v>
      </c>
      <c r="J139" s="3">
        <v>44711</v>
      </c>
      <c r="K139">
        <v>3.6</v>
      </c>
      <c r="L139">
        <v>43</v>
      </c>
      <c r="M139" s="4">
        <v>25600</v>
      </c>
      <c r="N139" s="4">
        <v>414897</v>
      </c>
      <c r="O139" t="s">
        <v>69</v>
      </c>
      <c r="P139" t="s">
        <v>69</v>
      </c>
      <c r="Q139">
        <v>3.23</v>
      </c>
      <c r="R139">
        <v>57</v>
      </c>
      <c r="S139">
        <v>45</v>
      </c>
      <c r="T139" t="s">
        <v>69</v>
      </c>
      <c r="U139">
        <v>2</v>
      </c>
      <c r="V139">
        <v>67</v>
      </c>
      <c r="W139" t="s">
        <v>69</v>
      </c>
      <c r="X139" t="s">
        <v>68</v>
      </c>
      <c r="Y139" t="s">
        <v>86</v>
      </c>
      <c r="Z139" t="s">
        <v>102</v>
      </c>
    </row>
    <row r="140" spans="1:26" x14ac:dyDescent="0.2">
      <c r="A140" t="s">
        <v>496</v>
      </c>
      <c r="B140" t="s">
        <v>497</v>
      </c>
      <c r="C140" t="s">
        <v>96</v>
      </c>
      <c r="D140" t="s">
        <v>162</v>
      </c>
      <c r="E140" t="s">
        <v>498</v>
      </c>
      <c r="F140" t="s">
        <v>92</v>
      </c>
      <c r="G140" t="s">
        <v>65</v>
      </c>
      <c r="H140" t="s">
        <v>66</v>
      </c>
      <c r="I140" t="s">
        <v>67</v>
      </c>
      <c r="J140" s="3">
        <v>41817</v>
      </c>
      <c r="K140">
        <v>11.5</v>
      </c>
      <c r="L140">
        <v>42</v>
      </c>
      <c r="M140" s="4">
        <v>5000</v>
      </c>
      <c r="N140" s="4">
        <v>75460</v>
      </c>
      <c r="O140" t="s">
        <v>68</v>
      </c>
      <c r="P140" t="s">
        <v>69</v>
      </c>
      <c r="Q140">
        <v>2.16</v>
      </c>
      <c r="R140">
        <v>39</v>
      </c>
      <c r="S140">
        <v>14</v>
      </c>
      <c r="T140" t="s">
        <v>69</v>
      </c>
      <c r="U140">
        <v>5</v>
      </c>
      <c r="V140">
        <v>0</v>
      </c>
      <c r="W140" t="s">
        <v>70</v>
      </c>
      <c r="X140" t="s">
        <v>68</v>
      </c>
      <c r="Y140" t="s">
        <v>86</v>
      </c>
      <c r="Z140" t="s">
        <v>96</v>
      </c>
    </row>
    <row r="141" spans="1:26" x14ac:dyDescent="0.2">
      <c r="A141" t="s">
        <v>499</v>
      </c>
      <c r="B141" t="s">
        <v>500</v>
      </c>
      <c r="C141" t="s">
        <v>96</v>
      </c>
      <c r="D141" t="s">
        <v>129</v>
      </c>
      <c r="E141" t="s">
        <v>501</v>
      </c>
      <c r="F141" t="s">
        <v>64</v>
      </c>
      <c r="G141" t="s">
        <v>65</v>
      </c>
      <c r="H141" t="s">
        <v>78</v>
      </c>
      <c r="I141" t="s">
        <v>111</v>
      </c>
      <c r="J141" s="3">
        <v>45654</v>
      </c>
      <c r="K141">
        <v>1</v>
      </c>
      <c r="L141">
        <v>53</v>
      </c>
      <c r="M141" s="4">
        <v>6900</v>
      </c>
      <c r="N141" s="4">
        <v>113084</v>
      </c>
      <c r="O141" t="s">
        <v>68</v>
      </c>
      <c r="P141" t="s">
        <v>69</v>
      </c>
      <c r="Q141">
        <v>3.45</v>
      </c>
      <c r="R141">
        <v>67</v>
      </c>
      <c r="S141">
        <v>27</v>
      </c>
      <c r="T141" t="s">
        <v>69</v>
      </c>
      <c r="U141">
        <v>4</v>
      </c>
      <c r="V141">
        <v>0</v>
      </c>
      <c r="W141" t="s">
        <v>70</v>
      </c>
      <c r="X141" t="s">
        <v>68</v>
      </c>
      <c r="Y141" t="s">
        <v>71</v>
      </c>
      <c r="Z141" t="s">
        <v>96</v>
      </c>
    </row>
    <row r="142" spans="1:26" x14ac:dyDescent="0.2">
      <c r="A142" t="s">
        <v>502</v>
      </c>
      <c r="B142" t="s">
        <v>329</v>
      </c>
      <c r="C142" t="s">
        <v>102</v>
      </c>
      <c r="D142" t="s">
        <v>103</v>
      </c>
      <c r="E142" t="s">
        <v>503</v>
      </c>
      <c r="F142" t="s">
        <v>136</v>
      </c>
      <c r="G142" t="s">
        <v>65</v>
      </c>
      <c r="H142" t="s">
        <v>78</v>
      </c>
      <c r="I142" t="s">
        <v>111</v>
      </c>
      <c r="J142" s="3">
        <v>41626</v>
      </c>
      <c r="K142">
        <v>12</v>
      </c>
      <c r="L142">
        <v>35</v>
      </c>
      <c r="M142" s="4">
        <v>11200</v>
      </c>
      <c r="N142" s="4">
        <v>183850</v>
      </c>
      <c r="O142" t="s">
        <v>68</v>
      </c>
      <c r="P142" t="s">
        <v>69</v>
      </c>
      <c r="Q142">
        <v>3.11</v>
      </c>
      <c r="R142">
        <v>68</v>
      </c>
      <c r="S142">
        <v>10</v>
      </c>
      <c r="T142" t="s">
        <v>69</v>
      </c>
      <c r="U142">
        <v>8</v>
      </c>
      <c r="V142">
        <v>52</v>
      </c>
      <c r="W142" t="s">
        <v>70</v>
      </c>
      <c r="X142" t="s">
        <v>68</v>
      </c>
      <c r="Y142" t="s">
        <v>71</v>
      </c>
      <c r="Z142" t="s">
        <v>102</v>
      </c>
    </row>
    <row r="143" spans="1:26" x14ac:dyDescent="0.2">
      <c r="A143" t="s">
        <v>504</v>
      </c>
      <c r="B143" t="s">
        <v>327</v>
      </c>
      <c r="C143" t="s">
        <v>89</v>
      </c>
      <c r="D143" t="s">
        <v>230</v>
      </c>
      <c r="E143" t="s">
        <v>505</v>
      </c>
      <c r="F143" t="s">
        <v>77</v>
      </c>
      <c r="G143" t="s">
        <v>65</v>
      </c>
      <c r="H143" t="s">
        <v>66</v>
      </c>
      <c r="I143" t="s">
        <v>79</v>
      </c>
      <c r="J143" s="3">
        <v>45439</v>
      </c>
      <c r="K143">
        <v>1.6</v>
      </c>
      <c r="L143">
        <v>37</v>
      </c>
      <c r="M143" s="4">
        <v>11600</v>
      </c>
      <c r="N143" s="4">
        <v>180195</v>
      </c>
      <c r="O143" t="s">
        <v>68</v>
      </c>
      <c r="P143" t="s">
        <v>69</v>
      </c>
      <c r="Q143">
        <v>3.18</v>
      </c>
      <c r="R143">
        <v>49</v>
      </c>
      <c r="S143">
        <v>45</v>
      </c>
      <c r="T143" t="s">
        <v>69</v>
      </c>
      <c r="U143">
        <v>4</v>
      </c>
      <c r="V143">
        <v>55</v>
      </c>
      <c r="W143" t="s">
        <v>70</v>
      </c>
      <c r="X143" t="s">
        <v>68</v>
      </c>
      <c r="Y143" t="s">
        <v>86</v>
      </c>
      <c r="Z143" t="s">
        <v>89</v>
      </c>
    </row>
    <row r="144" spans="1:26" x14ac:dyDescent="0.2">
      <c r="A144" t="s">
        <v>506</v>
      </c>
      <c r="B144" t="s">
        <v>507</v>
      </c>
      <c r="C144" t="s">
        <v>108</v>
      </c>
      <c r="D144" t="s">
        <v>222</v>
      </c>
      <c r="E144" t="s">
        <v>378</v>
      </c>
      <c r="F144" t="s">
        <v>77</v>
      </c>
      <c r="G144" t="s">
        <v>215</v>
      </c>
      <c r="H144" t="s">
        <v>78</v>
      </c>
      <c r="I144" t="s">
        <v>111</v>
      </c>
      <c r="J144" s="3">
        <v>42642</v>
      </c>
      <c r="K144">
        <v>9.3000000000000007</v>
      </c>
      <c r="L144">
        <v>53</v>
      </c>
      <c r="M144" s="4">
        <v>11900</v>
      </c>
      <c r="N144" s="4">
        <v>180447</v>
      </c>
      <c r="O144" t="s">
        <v>68</v>
      </c>
      <c r="P144" t="s">
        <v>69</v>
      </c>
      <c r="Q144">
        <v>3.57</v>
      </c>
      <c r="R144">
        <v>64</v>
      </c>
      <c r="S144">
        <v>11</v>
      </c>
      <c r="T144" t="s">
        <v>69</v>
      </c>
      <c r="U144">
        <v>4</v>
      </c>
      <c r="V144">
        <v>46</v>
      </c>
      <c r="W144" t="s">
        <v>70</v>
      </c>
      <c r="X144" t="s">
        <v>69</v>
      </c>
      <c r="Y144" t="s">
        <v>86</v>
      </c>
      <c r="Z144" t="s">
        <v>108</v>
      </c>
    </row>
    <row r="145" spans="1:26" x14ac:dyDescent="0.2">
      <c r="A145" t="s">
        <v>508</v>
      </c>
      <c r="B145" t="s">
        <v>509</v>
      </c>
      <c r="C145" t="s">
        <v>74</v>
      </c>
      <c r="D145" t="s">
        <v>118</v>
      </c>
      <c r="E145" t="s">
        <v>119</v>
      </c>
      <c r="F145" t="s">
        <v>120</v>
      </c>
      <c r="G145" t="s">
        <v>65</v>
      </c>
      <c r="H145" t="s">
        <v>78</v>
      </c>
      <c r="I145" t="s">
        <v>148</v>
      </c>
      <c r="J145" s="3">
        <v>43243</v>
      </c>
      <c r="K145">
        <v>7.6</v>
      </c>
      <c r="L145">
        <v>58</v>
      </c>
      <c r="M145" s="4">
        <v>9000</v>
      </c>
      <c r="N145" s="4">
        <v>146318</v>
      </c>
      <c r="O145" t="s">
        <v>68</v>
      </c>
      <c r="P145" t="s">
        <v>69</v>
      </c>
      <c r="Q145">
        <v>3.32</v>
      </c>
      <c r="R145">
        <v>64</v>
      </c>
      <c r="S145">
        <v>32</v>
      </c>
      <c r="T145" t="s">
        <v>69</v>
      </c>
      <c r="U145">
        <v>8</v>
      </c>
      <c r="V145">
        <v>67</v>
      </c>
      <c r="W145" t="s">
        <v>70</v>
      </c>
      <c r="X145" t="s">
        <v>68</v>
      </c>
      <c r="Y145" t="s">
        <v>86</v>
      </c>
      <c r="Z145" t="s">
        <v>74</v>
      </c>
    </row>
    <row r="146" spans="1:26" x14ac:dyDescent="0.2">
      <c r="A146" t="s">
        <v>510</v>
      </c>
      <c r="B146" t="s">
        <v>474</v>
      </c>
      <c r="C146" t="s">
        <v>74</v>
      </c>
      <c r="D146" t="s">
        <v>118</v>
      </c>
      <c r="E146" t="s">
        <v>511</v>
      </c>
      <c r="F146" t="s">
        <v>77</v>
      </c>
      <c r="G146" t="s">
        <v>65</v>
      </c>
      <c r="H146" t="s">
        <v>78</v>
      </c>
      <c r="I146" t="s">
        <v>111</v>
      </c>
      <c r="J146" s="3">
        <v>45588</v>
      </c>
      <c r="K146">
        <v>1.2</v>
      </c>
      <c r="L146">
        <v>32</v>
      </c>
      <c r="M146" s="4">
        <v>9800</v>
      </c>
      <c r="N146" s="4">
        <v>140459</v>
      </c>
      <c r="O146" t="s">
        <v>68</v>
      </c>
      <c r="P146" t="s">
        <v>68</v>
      </c>
      <c r="Q146">
        <v>2.75</v>
      </c>
      <c r="R146">
        <v>81</v>
      </c>
      <c r="S146">
        <v>45</v>
      </c>
      <c r="T146" t="s">
        <v>69</v>
      </c>
      <c r="U146">
        <v>7</v>
      </c>
      <c r="V146">
        <v>58</v>
      </c>
      <c r="W146" t="s">
        <v>70</v>
      </c>
      <c r="X146" t="s">
        <v>68</v>
      </c>
      <c r="Y146" t="s">
        <v>71</v>
      </c>
      <c r="Z146" t="s">
        <v>74</v>
      </c>
    </row>
    <row r="147" spans="1:26" x14ac:dyDescent="0.2">
      <c r="A147" t="s">
        <v>512</v>
      </c>
      <c r="B147" t="s">
        <v>513</v>
      </c>
      <c r="C147" t="s">
        <v>108</v>
      </c>
      <c r="D147" t="s">
        <v>194</v>
      </c>
      <c r="E147" t="s">
        <v>293</v>
      </c>
      <c r="F147" t="s">
        <v>92</v>
      </c>
      <c r="G147" t="s">
        <v>65</v>
      </c>
      <c r="H147" t="s">
        <v>78</v>
      </c>
      <c r="I147" t="s">
        <v>111</v>
      </c>
      <c r="J147" s="3">
        <v>43428</v>
      </c>
      <c r="K147">
        <v>7.1</v>
      </c>
      <c r="L147">
        <v>39</v>
      </c>
      <c r="M147" s="4">
        <v>4200</v>
      </c>
      <c r="N147" s="4">
        <v>59757</v>
      </c>
      <c r="O147" t="s">
        <v>68</v>
      </c>
      <c r="P147" t="s">
        <v>69</v>
      </c>
      <c r="Q147">
        <v>3.01</v>
      </c>
      <c r="R147">
        <v>55</v>
      </c>
      <c r="S147">
        <v>1</v>
      </c>
      <c r="T147" t="s">
        <v>69</v>
      </c>
      <c r="U147">
        <v>7</v>
      </c>
      <c r="V147">
        <v>35</v>
      </c>
      <c r="W147" t="s">
        <v>70</v>
      </c>
      <c r="X147" t="s">
        <v>68</v>
      </c>
      <c r="Y147" t="s">
        <v>86</v>
      </c>
      <c r="Z147" t="s">
        <v>108</v>
      </c>
    </row>
    <row r="148" spans="1:26" x14ac:dyDescent="0.2">
      <c r="A148" t="s">
        <v>514</v>
      </c>
      <c r="B148" t="s">
        <v>515</v>
      </c>
      <c r="C148" t="s">
        <v>89</v>
      </c>
      <c r="D148" t="s">
        <v>230</v>
      </c>
      <c r="E148" t="s">
        <v>231</v>
      </c>
      <c r="F148" t="s">
        <v>64</v>
      </c>
      <c r="G148" t="s">
        <v>85</v>
      </c>
      <c r="H148" t="s">
        <v>66</v>
      </c>
      <c r="I148" t="s">
        <v>148</v>
      </c>
      <c r="J148" s="3">
        <v>43161</v>
      </c>
      <c r="K148">
        <v>7.8</v>
      </c>
      <c r="L148">
        <v>45</v>
      </c>
      <c r="M148" s="4">
        <v>6500</v>
      </c>
      <c r="N148" s="4">
        <v>101959</v>
      </c>
      <c r="O148" t="s">
        <v>68</v>
      </c>
      <c r="P148" t="s">
        <v>69</v>
      </c>
      <c r="Q148">
        <v>3.78</v>
      </c>
      <c r="R148">
        <v>81</v>
      </c>
      <c r="S148">
        <v>23</v>
      </c>
      <c r="T148" t="s">
        <v>69</v>
      </c>
      <c r="U148">
        <v>6</v>
      </c>
      <c r="V148">
        <v>29</v>
      </c>
      <c r="W148" t="s">
        <v>70</v>
      </c>
      <c r="X148" t="s">
        <v>69</v>
      </c>
      <c r="Y148" t="s">
        <v>71</v>
      </c>
      <c r="Z148" t="s">
        <v>89</v>
      </c>
    </row>
    <row r="149" spans="1:26" x14ac:dyDescent="0.2">
      <c r="A149" t="s">
        <v>516</v>
      </c>
      <c r="B149" t="s">
        <v>128</v>
      </c>
      <c r="C149" t="s">
        <v>89</v>
      </c>
      <c r="D149" t="s">
        <v>230</v>
      </c>
      <c r="E149" t="s">
        <v>231</v>
      </c>
      <c r="F149" t="s">
        <v>64</v>
      </c>
      <c r="G149" t="s">
        <v>65</v>
      </c>
      <c r="H149" t="s">
        <v>66</v>
      </c>
      <c r="I149" t="s">
        <v>121</v>
      </c>
      <c r="J149" s="3">
        <v>44407</v>
      </c>
      <c r="K149">
        <v>4.4000000000000004</v>
      </c>
      <c r="L149">
        <v>37</v>
      </c>
      <c r="M149" s="4">
        <v>6700</v>
      </c>
      <c r="N149" s="4">
        <v>96281</v>
      </c>
      <c r="O149" t="s">
        <v>69</v>
      </c>
      <c r="P149" t="s">
        <v>69</v>
      </c>
      <c r="Q149">
        <v>2.71</v>
      </c>
      <c r="R149">
        <v>56</v>
      </c>
      <c r="S149">
        <v>14</v>
      </c>
      <c r="T149" t="s">
        <v>69</v>
      </c>
      <c r="U149">
        <v>0</v>
      </c>
      <c r="V149">
        <v>30</v>
      </c>
      <c r="W149" t="s">
        <v>69</v>
      </c>
      <c r="X149" t="s">
        <v>68</v>
      </c>
      <c r="Y149" t="s">
        <v>86</v>
      </c>
      <c r="Z149" t="s">
        <v>89</v>
      </c>
    </row>
    <row r="150" spans="1:26" x14ac:dyDescent="0.2">
      <c r="A150" t="s">
        <v>517</v>
      </c>
      <c r="B150" t="s">
        <v>518</v>
      </c>
      <c r="C150" t="s">
        <v>102</v>
      </c>
      <c r="D150" t="s">
        <v>183</v>
      </c>
      <c r="E150" t="s">
        <v>415</v>
      </c>
      <c r="F150" t="s">
        <v>77</v>
      </c>
      <c r="G150" t="s">
        <v>65</v>
      </c>
      <c r="H150" t="s">
        <v>78</v>
      </c>
      <c r="I150" t="s">
        <v>67</v>
      </c>
      <c r="J150" s="3">
        <v>42625</v>
      </c>
      <c r="K150">
        <v>9.3000000000000007</v>
      </c>
      <c r="L150">
        <v>40</v>
      </c>
      <c r="M150" s="4">
        <v>11800</v>
      </c>
      <c r="N150" s="4">
        <v>182388</v>
      </c>
      <c r="O150" t="s">
        <v>68</v>
      </c>
      <c r="P150" t="s">
        <v>69</v>
      </c>
      <c r="Q150">
        <v>3.61</v>
      </c>
      <c r="R150">
        <v>72</v>
      </c>
      <c r="S150">
        <v>28</v>
      </c>
      <c r="T150" t="s">
        <v>69</v>
      </c>
      <c r="U150">
        <v>12</v>
      </c>
      <c r="V150">
        <v>15</v>
      </c>
      <c r="W150" t="s">
        <v>70</v>
      </c>
      <c r="X150" t="s">
        <v>69</v>
      </c>
      <c r="Y150" t="s">
        <v>71</v>
      </c>
      <c r="Z150" t="s">
        <v>102</v>
      </c>
    </row>
    <row r="151" spans="1:26" x14ac:dyDescent="0.2">
      <c r="A151" t="s">
        <v>519</v>
      </c>
      <c r="B151" t="s">
        <v>278</v>
      </c>
      <c r="C151" t="s">
        <v>12</v>
      </c>
      <c r="D151" t="s">
        <v>82</v>
      </c>
      <c r="E151" t="s">
        <v>520</v>
      </c>
      <c r="F151" t="s">
        <v>77</v>
      </c>
      <c r="G151" t="s">
        <v>215</v>
      </c>
      <c r="H151" t="s">
        <v>78</v>
      </c>
      <c r="I151" t="s">
        <v>67</v>
      </c>
      <c r="J151" s="3">
        <v>42148</v>
      </c>
      <c r="K151">
        <v>10.6</v>
      </c>
      <c r="L151">
        <v>59</v>
      </c>
      <c r="M151" s="4">
        <v>11700</v>
      </c>
      <c r="N151" s="4">
        <v>172443</v>
      </c>
      <c r="O151" t="s">
        <v>68</v>
      </c>
      <c r="P151" t="s">
        <v>68</v>
      </c>
      <c r="Q151">
        <v>2.64</v>
      </c>
      <c r="R151">
        <v>68</v>
      </c>
      <c r="S151">
        <v>30</v>
      </c>
      <c r="T151" t="s">
        <v>69</v>
      </c>
      <c r="U151">
        <v>7</v>
      </c>
      <c r="V151">
        <v>9</v>
      </c>
      <c r="W151" t="s">
        <v>70</v>
      </c>
      <c r="X151" t="s">
        <v>68</v>
      </c>
      <c r="Y151" t="s">
        <v>71</v>
      </c>
      <c r="Z151" t="s">
        <v>12</v>
      </c>
    </row>
    <row r="152" spans="1:26" x14ac:dyDescent="0.2">
      <c r="A152" t="s">
        <v>521</v>
      </c>
      <c r="B152" t="s">
        <v>522</v>
      </c>
      <c r="C152" t="s">
        <v>102</v>
      </c>
      <c r="D152" t="s">
        <v>339</v>
      </c>
      <c r="E152" t="s">
        <v>523</v>
      </c>
      <c r="F152" t="s">
        <v>136</v>
      </c>
      <c r="G152" t="s">
        <v>215</v>
      </c>
      <c r="H152" t="s">
        <v>78</v>
      </c>
      <c r="I152" t="s">
        <v>111</v>
      </c>
      <c r="J152" s="3">
        <v>44514</v>
      </c>
      <c r="K152">
        <v>4.0999999999999996</v>
      </c>
      <c r="L152">
        <v>29</v>
      </c>
      <c r="M152" s="4">
        <v>17500</v>
      </c>
      <c r="N152" s="4">
        <v>282508</v>
      </c>
      <c r="O152" t="s">
        <v>68</v>
      </c>
      <c r="P152" t="s">
        <v>69</v>
      </c>
      <c r="Q152">
        <v>3.35</v>
      </c>
      <c r="R152">
        <v>73</v>
      </c>
      <c r="S152">
        <v>19</v>
      </c>
      <c r="T152" t="s">
        <v>69</v>
      </c>
      <c r="U152">
        <v>3</v>
      </c>
      <c r="V152">
        <v>41</v>
      </c>
      <c r="W152" t="s">
        <v>70</v>
      </c>
      <c r="X152" t="s">
        <v>68</v>
      </c>
      <c r="Y152" t="s">
        <v>71</v>
      </c>
      <c r="Z152" t="s">
        <v>102</v>
      </c>
    </row>
    <row r="153" spans="1:26" x14ac:dyDescent="0.2">
      <c r="A153" t="s">
        <v>524</v>
      </c>
      <c r="B153" t="s">
        <v>525</v>
      </c>
      <c r="C153" t="s">
        <v>74</v>
      </c>
      <c r="D153" t="s">
        <v>313</v>
      </c>
      <c r="E153" t="s">
        <v>526</v>
      </c>
      <c r="F153" t="s">
        <v>136</v>
      </c>
      <c r="G153" t="s">
        <v>65</v>
      </c>
      <c r="H153" t="s">
        <v>66</v>
      </c>
      <c r="I153" t="s">
        <v>79</v>
      </c>
      <c r="J153" s="3">
        <v>42672</v>
      </c>
      <c r="K153">
        <v>9.1999999999999993</v>
      </c>
      <c r="L153">
        <v>59</v>
      </c>
      <c r="M153" s="4">
        <v>14600</v>
      </c>
      <c r="N153" s="4">
        <v>213404</v>
      </c>
      <c r="O153" t="s">
        <v>68</v>
      </c>
      <c r="P153" t="s">
        <v>69</v>
      </c>
      <c r="Q153">
        <v>2.67</v>
      </c>
      <c r="R153">
        <v>74</v>
      </c>
      <c r="S153">
        <v>15</v>
      </c>
      <c r="T153" t="s">
        <v>69</v>
      </c>
      <c r="U153">
        <v>9</v>
      </c>
      <c r="V153">
        <v>45</v>
      </c>
      <c r="W153" t="s">
        <v>70</v>
      </c>
      <c r="X153" t="s">
        <v>68</v>
      </c>
      <c r="Y153" t="s">
        <v>71</v>
      </c>
      <c r="Z153" t="s">
        <v>74</v>
      </c>
    </row>
    <row r="154" spans="1:26" x14ac:dyDescent="0.2">
      <c r="A154" t="s">
        <v>527</v>
      </c>
      <c r="B154" t="s">
        <v>528</v>
      </c>
      <c r="C154" t="s">
        <v>102</v>
      </c>
      <c r="D154" t="s">
        <v>183</v>
      </c>
      <c r="E154" t="s">
        <v>415</v>
      </c>
      <c r="F154" t="s">
        <v>77</v>
      </c>
      <c r="G154" t="s">
        <v>215</v>
      </c>
      <c r="H154" t="s">
        <v>78</v>
      </c>
      <c r="I154" t="s">
        <v>93</v>
      </c>
      <c r="J154" s="3">
        <v>41515</v>
      </c>
      <c r="K154">
        <v>12.4</v>
      </c>
      <c r="L154">
        <v>53</v>
      </c>
      <c r="M154" s="4">
        <v>11600</v>
      </c>
      <c r="N154" s="4">
        <v>176827</v>
      </c>
      <c r="O154" t="s">
        <v>68</v>
      </c>
      <c r="P154" t="s">
        <v>69</v>
      </c>
      <c r="Q154">
        <v>3.21</v>
      </c>
      <c r="R154">
        <v>60</v>
      </c>
      <c r="S154">
        <v>21</v>
      </c>
      <c r="T154" t="s">
        <v>68</v>
      </c>
      <c r="U154">
        <v>8</v>
      </c>
      <c r="V154">
        <v>19</v>
      </c>
      <c r="W154" t="s">
        <v>70</v>
      </c>
      <c r="X154" t="s">
        <v>68</v>
      </c>
      <c r="Y154" t="s">
        <v>71</v>
      </c>
      <c r="Z154" t="s">
        <v>102</v>
      </c>
    </row>
    <row r="155" spans="1:26" x14ac:dyDescent="0.2">
      <c r="A155" t="s">
        <v>529</v>
      </c>
      <c r="B155" t="s">
        <v>153</v>
      </c>
      <c r="C155" t="s">
        <v>74</v>
      </c>
      <c r="D155" t="s">
        <v>118</v>
      </c>
      <c r="E155" t="s">
        <v>530</v>
      </c>
      <c r="F155" t="s">
        <v>136</v>
      </c>
      <c r="G155" t="s">
        <v>65</v>
      </c>
      <c r="H155" t="s">
        <v>78</v>
      </c>
      <c r="I155" t="s">
        <v>79</v>
      </c>
      <c r="J155" s="3">
        <v>44946</v>
      </c>
      <c r="K155">
        <v>3</v>
      </c>
      <c r="L155">
        <v>41</v>
      </c>
      <c r="M155" s="4">
        <v>14800</v>
      </c>
      <c r="N155" s="4">
        <v>217224</v>
      </c>
      <c r="O155" t="s">
        <v>68</v>
      </c>
      <c r="P155" t="s">
        <v>68</v>
      </c>
      <c r="Q155">
        <v>2.95</v>
      </c>
      <c r="R155">
        <v>56</v>
      </c>
      <c r="S155">
        <v>42</v>
      </c>
      <c r="T155" t="s">
        <v>69</v>
      </c>
      <c r="U155">
        <v>3</v>
      </c>
      <c r="V155">
        <v>37</v>
      </c>
      <c r="W155" t="s">
        <v>70</v>
      </c>
      <c r="X155" t="s">
        <v>68</v>
      </c>
      <c r="Y155" t="s">
        <v>86</v>
      </c>
      <c r="Z155" t="s">
        <v>74</v>
      </c>
    </row>
    <row r="156" spans="1:26" x14ac:dyDescent="0.2">
      <c r="A156" t="s">
        <v>531</v>
      </c>
      <c r="B156" t="s">
        <v>532</v>
      </c>
      <c r="C156" t="s">
        <v>12</v>
      </c>
      <c r="D156" t="s">
        <v>421</v>
      </c>
      <c r="E156" t="s">
        <v>533</v>
      </c>
      <c r="F156" t="s">
        <v>92</v>
      </c>
      <c r="G156" t="s">
        <v>65</v>
      </c>
      <c r="H156" t="s">
        <v>66</v>
      </c>
      <c r="I156" t="s">
        <v>93</v>
      </c>
      <c r="J156" s="3">
        <v>42033</v>
      </c>
      <c r="K156">
        <v>10.9</v>
      </c>
      <c r="L156">
        <v>35</v>
      </c>
      <c r="M156" s="4">
        <v>5200</v>
      </c>
      <c r="N156" s="4">
        <v>75941</v>
      </c>
      <c r="O156" t="s">
        <v>68</v>
      </c>
      <c r="P156" t="s">
        <v>68</v>
      </c>
      <c r="Q156">
        <v>3.53</v>
      </c>
      <c r="R156">
        <v>83</v>
      </c>
      <c r="S156">
        <v>7</v>
      </c>
      <c r="T156" t="s">
        <v>69</v>
      </c>
      <c r="U156">
        <v>3</v>
      </c>
      <c r="V156">
        <v>50</v>
      </c>
      <c r="W156" t="s">
        <v>70</v>
      </c>
      <c r="X156" t="s">
        <v>69</v>
      </c>
      <c r="Y156" t="s">
        <v>71</v>
      </c>
      <c r="Z156" t="s">
        <v>12</v>
      </c>
    </row>
    <row r="157" spans="1:26" x14ac:dyDescent="0.2">
      <c r="A157" t="s">
        <v>534</v>
      </c>
      <c r="B157" t="s">
        <v>329</v>
      </c>
      <c r="C157" t="s">
        <v>74</v>
      </c>
      <c r="D157" t="s">
        <v>313</v>
      </c>
      <c r="E157" t="s">
        <v>526</v>
      </c>
      <c r="F157" t="s">
        <v>136</v>
      </c>
      <c r="G157" t="s">
        <v>65</v>
      </c>
      <c r="H157" t="s">
        <v>66</v>
      </c>
      <c r="I157" t="s">
        <v>99</v>
      </c>
      <c r="J157" s="3">
        <v>43411</v>
      </c>
      <c r="K157">
        <v>7.2</v>
      </c>
      <c r="L157">
        <v>37</v>
      </c>
      <c r="M157" s="4">
        <v>12000</v>
      </c>
      <c r="N157" s="4">
        <v>171899</v>
      </c>
      <c r="O157" t="s">
        <v>68</v>
      </c>
      <c r="P157" t="s">
        <v>68</v>
      </c>
      <c r="Q157">
        <v>3.33</v>
      </c>
      <c r="R157">
        <v>67</v>
      </c>
      <c r="S157">
        <v>28</v>
      </c>
      <c r="T157" t="s">
        <v>69</v>
      </c>
      <c r="U157">
        <v>4</v>
      </c>
      <c r="V157">
        <v>64</v>
      </c>
      <c r="W157" t="s">
        <v>70</v>
      </c>
      <c r="X157" t="s">
        <v>68</v>
      </c>
      <c r="Y157" t="s">
        <v>86</v>
      </c>
      <c r="Z157" t="s">
        <v>74</v>
      </c>
    </row>
    <row r="158" spans="1:26" x14ac:dyDescent="0.2">
      <c r="A158" t="s">
        <v>535</v>
      </c>
      <c r="B158" t="s">
        <v>536</v>
      </c>
      <c r="C158" t="s">
        <v>89</v>
      </c>
      <c r="D158" t="s">
        <v>90</v>
      </c>
      <c r="E158" t="s">
        <v>348</v>
      </c>
      <c r="F158" t="s">
        <v>77</v>
      </c>
      <c r="G158" t="s">
        <v>65</v>
      </c>
      <c r="H158" t="s">
        <v>66</v>
      </c>
      <c r="I158" t="s">
        <v>79</v>
      </c>
      <c r="J158" s="3">
        <v>43488</v>
      </c>
      <c r="K158">
        <v>6.9</v>
      </c>
      <c r="L158">
        <v>47</v>
      </c>
      <c r="M158" s="4">
        <v>10100</v>
      </c>
      <c r="N158" s="4">
        <v>150705</v>
      </c>
      <c r="O158" t="s">
        <v>68</v>
      </c>
      <c r="P158" t="s">
        <v>69</v>
      </c>
      <c r="Q158">
        <v>2.58</v>
      </c>
      <c r="R158">
        <v>48</v>
      </c>
      <c r="S158">
        <v>50</v>
      </c>
      <c r="T158" t="s">
        <v>69</v>
      </c>
      <c r="U158">
        <v>4</v>
      </c>
      <c r="V158">
        <v>36</v>
      </c>
      <c r="W158" t="s">
        <v>70</v>
      </c>
      <c r="X158" t="s">
        <v>68</v>
      </c>
      <c r="Y158" t="s">
        <v>86</v>
      </c>
      <c r="Z158" t="s">
        <v>89</v>
      </c>
    </row>
    <row r="159" spans="1:26" x14ac:dyDescent="0.2">
      <c r="A159" t="s">
        <v>537</v>
      </c>
      <c r="B159" t="s">
        <v>538</v>
      </c>
      <c r="C159" t="s">
        <v>74</v>
      </c>
      <c r="D159" t="s">
        <v>139</v>
      </c>
      <c r="E159" t="s">
        <v>539</v>
      </c>
      <c r="F159" t="s">
        <v>84</v>
      </c>
      <c r="G159" t="s">
        <v>65</v>
      </c>
      <c r="H159" t="s">
        <v>66</v>
      </c>
      <c r="I159" t="s">
        <v>99</v>
      </c>
      <c r="J159" s="3">
        <v>42319</v>
      </c>
      <c r="K159">
        <v>10.1</v>
      </c>
      <c r="L159">
        <v>36</v>
      </c>
      <c r="M159" s="4">
        <v>19600</v>
      </c>
      <c r="N159" s="4">
        <v>320030</v>
      </c>
      <c r="O159" t="s">
        <v>69</v>
      </c>
      <c r="P159" t="s">
        <v>69</v>
      </c>
      <c r="Q159">
        <v>2.75</v>
      </c>
      <c r="R159">
        <v>64</v>
      </c>
      <c r="S159">
        <v>24</v>
      </c>
      <c r="T159" t="s">
        <v>69</v>
      </c>
      <c r="U159">
        <v>7</v>
      </c>
      <c r="V159">
        <v>4</v>
      </c>
      <c r="W159" t="s">
        <v>69</v>
      </c>
      <c r="X159" t="s">
        <v>68</v>
      </c>
      <c r="Y159" t="s">
        <v>71</v>
      </c>
      <c r="Z159" t="s">
        <v>74</v>
      </c>
    </row>
    <row r="160" spans="1:26" x14ac:dyDescent="0.2">
      <c r="A160" t="s">
        <v>540</v>
      </c>
      <c r="B160" t="s">
        <v>123</v>
      </c>
      <c r="C160" t="s">
        <v>12</v>
      </c>
      <c r="D160" t="s">
        <v>200</v>
      </c>
      <c r="E160" t="s">
        <v>541</v>
      </c>
      <c r="F160" t="s">
        <v>120</v>
      </c>
      <c r="G160" t="s">
        <v>65</v>
      </c>
      <c r="H160" t="s">
        <v>66</v>
      </c>
      <c r="I160" t="s">
        <v>148</v>
      </c>
      <c r="J160" s="3">
        <v>43208</v>
      </c>
      <c r="K160">
        <v>7.7</v>
      </c>
      <c r="L160">
        <v>30</v>
      </c>
      <c r="M160" s="4">
        <v>8800</v>
      </c>
      <c r="N160" s="4">
        <v>130610</v>
      </c>
      <c r="O160" t="s">
        <v>68</v>
      </c>
      <c r="P160" t="s">
        <v>68</v>
      </c>
      <c r="Q160">
        <v>3.06</v>
      </c>
      <c r="R160">
        <v>50</v>
      </c>
      <c r="S160">
        <v>25</v>
      </c>
      <c r="T160" t="s">
        <v>69</v>
      </c>
      <c r="U160">
        <v>7</v>
      </c>
      <c r="V160">
        <v>0</v>
      </c>
      <c r="W160" t="s">
        <v>70</v>
      </c>
      <c r="X160" t="s">
        <v>68</v>
      </c>
      <c r="Y160" t="s">
        <v>71</v>
      </c>
      <c r="Z160" t="s">
        <v>12</v>
      </c>
    </row>
    <row r="161" spans="1:26" x14ac:dyDescent="0.2">
      <c r="A161" t="s">
        <v>542</v>
      </c>
      <c r="B161" t="s">
        <v>286</v>
      </c>
      <c r="C161" t="s">
        <v>74</v>
      </c>
      <c r="D161" t="s">
        <v>139</v>
      </c>
      <c r="E161" t="s">
        <v>140</v>
      </c>
      <c r="F161" t="s">
        <v>64</v>
      </c>
      <c r="G161" t="s">
        <v>65</v>
      </c>
      <c r="H161" t="s">
        <v>66</v>
      </c>
      <c r="I161" t="s">
        <v>67</v>
      </c>
      <c r="J161" s="3">
        <v>44635</v>
      </c>
      <c r="K161">
        <v>3.8</v>
      </c>
      <c r="L161">
        <v>41</v>
      </c>
      <c r="M161" s="4">
        <v>5300</v>
      </c>
      <c r="N161" s="4">
        <v>86820</v>
      </c>
      <c r="O161" t="s">
        <v>68</v>
      </c>
      <c r="P161" t="s">
        <v>69</v>
      </c>
      <c r="Q161">
        <v>2.35</v>
      </c>
      <c r="R161">
        <v>70</v>
      </c>
      <c r="S161">
        <v>17</v>
      </c>
      <c r="T161" t="s">
        <v>69</v>
      </c>
      <c r="U161">
        <v>7</v>
      </c>
      <c r="V161">
        <v>11</v>
      </c>
      <c r="W161" t="s">
        <v>70</v>
      </c>
      <c r="X161" t="s">
        <v>68</v>
      </c>
      <c r="Y161" t="s">
        <v>71</v>
      </c>
      <c r="Z161" t="s">
        <v>74</v>
      </c>
    </row>
    <row r="162" spans="1:26" x14ac:dyDescent="0.2">
      <c r="A162" t="s">
        <v>543</v>
      </c>
      <c r="B162" t="s">
        <v>150</v>
      </c>
      <c r="C162" t="s">
        <v>108</v>
      </c>
      <c r="D162" t="s">
        <v>222</v>
      </c>
      <c r="E162" t="s">
        <v>544</v>
      </c>
      <c r="F162" t="s">
        <v>136</v>
      </c>
      <c r="G162" t="s">
        <v>85</v>
      </c>
      <c r="H162" t="s">
        <v>78</v>
      </c>
      <c r="I162" t="s">
        <v>115</v>
      </c>
      <c r="J162" s="3">
        <v>44798</v>
      </c>
      <c r="K162">
        <v>3.4</v>
      </c>
      <c r="L162">
        <v>31</v>
      </c>
      <c r="M162" s="4">
        <v>15400</v>
      </c>
      <c r="N162" s="4">
        <v>233465</v>
      </c>
      <c r="O162" t="s">
        <v>68</v>
      </c>
      <c r="P162" t="s">
        <v>69</v>
      </c>
      <c r="Q162">
        <v>2.9</v>
      </c>
      <c r="R162">
        <v>54</v>
      </c>
      <c r="S162">
        <v>31</v>
      </c>
      <c r="T162" t="s">
        <v>69</v>
      </c>
      <c r="U162">
        <v>8</v>
      </c>
      <c r="V162">
        <v>40</v>
      </c>
      <c r="W162" t="s">
        <v>70</v>
      </c>
      <c r="X162" t="s">
        <v>68</v>
      </c>
      <c r="Y162" t="s">
        <v>86</v>
      </c>
      <c r="Z162" t="s">
        <v>108</v>
      </c>
    </row>
    <row r="163" spans="1:26" x14ac:dyDescent="0.2">
      <c r="A163" t="s">
        <v>545</v>
      </c>
      <c r="B163" t="s">
        <v>380</v>
      </c>
      <c r="C163" t="s">
        <v>124</v>
      </c>
      <c r="D163" t="s">
        <v>243</v>
      </c>
      <c r="E163" t="s">
        <v>546</v>
      </c>
      <c r="F163" t="s">
        <v>174</v>
      </c>
      <c r="G163" t="s">
        <v>215</v>
      </c>
      <c r="H163" t="s">
        <v>66</v>
      </c>
      <c r="I163" t="s">
        <v>105</v>
      </c>
      <c r="J163" s="3">
        <v>42561</v>
      </c>
      <c r="K163">
        <v>9.5</v>
      </c>
      <c r="L163">
        <v>47</v>
      </c>
      <c r="M163" s="4">
        <v>24700</v>
      </c>
      <c r="N163" s="4">
        <v>390496</v>
      </c>
      <c r="O163" t="s">
        <v>69</v>
      </c>
      <c r="P163" t="s">
        <v>68</v>
      </c>
      <c r="Q163">
        <v>4</v>
      </c>
      <c r="R163">
        <v>60</v>
      </c>
      <c r="S163">
        <v>39</v>
      </c>
      <c r="T163" t="s">
        <v>69</v>
      </c>
      <c r="U163">
        <v>12</v>
      </c>
      <c r="V163">
        <v>37</v>
      </c>
      <c r="W163" t="s">
        <v>68</v>
      </c>
      <c r="X163" t="s">
        <v>69</v>
      </c>
      <c r="Y163" t="s">
        <v>86</v>
      </c>
      <c r="Z163" t="s">
        <v>124</v>
      </c>
    </row>
    <row r="164" spans="1:26" x14ac:dyDescent="0.2">
      <c r="A164" t="s">
        <v>547</v>
      </c>
      <c r="B164" t="s">
        <v>548</v>
      </c>
      <c r="C164" t="s">
        <v>89</v>
      </c>
      <c r="D164" t="s">
        <v>230</v>
      </c>
      <c r="E164" t="s">
        <v>549</v>
      </c>
      <c r="F164" t="s">
        <v>120</v>
      </c>
      <c r="G164" t="s">
        <v>65</v>
      </c>
      <c r="H164" t="s">
        <v>78</v>
      </c>
      <c r="I164" t="s">
        <v>67</v>
      </c>
      <c r="J164" s="3">
        <v>45682</v>
      </c>
      <c r="K164">
        <v>0.9</v>
      </c>
      <c r="L164">
        <v>22</v>
      </c>
      <c r="M164" s="4">
        <v>7500</v>
      </c>
      <c r="N164" s="4">
        <v>109272</v>
      </c>
      <c r="O164" t="s">
        <v>68</v>
      </c>
      <c r="P164" t="s">
        <v>69</v>
      </c>
      <c r="Q164">
        <v>3.35</v>
      </c>
      <c r="R164">
        <v>51</v>
      </c>
      <c r="S164">
        <v>27</v>
      </c>
      <c r="T164" t="s">
        <v>69</v>
      </c>
      <c r="U164">
        <v>0</v>
      </c>
      <c r="V164">
        <v>39</v>
      </c>
      <c r="W164" t="s">
        <v>70</v>
      </c>
      <c r="X164" t="s">
        <v>68</v>
      </c>
      <c r="Y164" t="s">
        <v>86</v>
      </c>
      <c r="Z164" t="s">
        <v>89</v>
      </c>
    </row>
    <row r="165" spans="1:26" x14ac:dyDescent="0.2">
      <c r="A165" t="s">
        <v>550</v>
      </c>
      <c r="B165" t="s">
        <v>551</v>
      </c>
      <c r="C165" t="s">
        <v>143</v>
      </c>
      <c r="D165" t="s">
        <v>552</v>
      </c>
      <c r="E165" t="s">
        <v>553</v>
      </c>
      <c r="F165" t="s">
        <v>92</v>
      </c>
      <c r="G165" t="s">
        <v>65</v>
      </c>
      <c r="H165" t="s">
        <v>66</v>
      </c>
      <c r="I165" t="s">
        <v>554</v>
      </c>
      <c r="J165" s="3">
        <v>45025</v>
      </c>
      <c r="K165">
        <v>2.7</v>
      </c>
      <c r="L165">
        <v>51</v>
      </c>
      <c r="M165" s="4">
        <v>5500</v>
      </c>
      <c r="N165" s="4">
        <v>88378</v>
      </c>
      <c r="O165" t="s">
        <v>68</v>
      </c>
      <c r="P165" t="s">
        <v>69</v>
      </c>
      <c r="Q165">
        <v>3.15</v>
      </c>
      <c r="R165">
        <v>69</v>
      </c>
      <c r="S165">
        <v>28</v>
      </c>
      <c r="T165" t="s">
        <v>69</v>
      </c>
      <c r="U165">
        <v>4</v>
      </c>
      <c r="V165">
        <v>13</v>
      </c>
      <c r="W165" t="s">
        <v>70</v>
      </c>
      <c r="X165" t="s">
        <v>68</v>
      </c>
      <c r="Y165" t="s">
        <v>71</v>
      </c>
      <c r="Z165" t="s">
        <v>143</v>
      </c>
    </row>
    <row r="166" spans="1:26" x14ac:dyDescent="0.2">
      <c r="A166" t="s">
        <v>555</v>
      </c>
      <c r="B166" t="s">
        <v>292</v>
      </c>
      <c r="C166" t="s">
        <v>143</v>
      </c>
      <c r="D166" t="s">
        <v>144</v>
      </c>
      <c r="E166" t="s">
        <v>556</v>
      </c>
      <c r="F166" t="s">
        <v>92</v>
      </c>
      <c r="G166" t="s">
        <v>65</v>
      </c>
      <c r="H166" t="s">
        <v>78</v>
      </c>
      <c r="I166" t="s">
        <v>111</v>
      </c>
      <c r="J166" s="3">
        <v>43308</v>
      </c>
      <c r="K166">
        <v>7.4</v>
      </c>
      <c r="L166">
        <v>23</v>
      </c>
      <c r="M166" s="4">
        <v>5000</v>
      </c>
      <c r="N166" s="4">
        <v>73692</v>
      </c>
      <c r="O166" t="s">
        <v>68</v>
      </c>
      <c r="P166" t="s">
        <v>69</v>
      </c>
      <c r="Q166">
        <v>2.84</v>
      </c>
      <c r="R166">
        <v>61</v>
      </c>
      <c r="S166">
        <v>35</v>
      </c>
      <c r="T166" t="s">
        <v>69</v>
      </c>
      <c r="U166">
        <v>0</v>
      </c>
      <c r="V166">
        <v>38</v>
      </c>
      <c r="W166" t="s">
        <v>70</v>
      </c>
      <c r="X166" t="s">
        <v>68</v>
      </c>
      <c r="Y166" t="s">
        <v>86</v>
      </c>
      <c r="Z166" t="s">
        <v>143</v>
      </c>
    </row>
    <row r="167" spans="1:26" x14ac:dyDescent="0.2">
      <c r="A167" t="s">
        <v>557</v>
      </c>
      <c r="B167" t="s">
        <v>558</v>
      </c>
      <c r="C167" t="s">
        <v>108</v>
      </c>
      <c r="D167" t="s">
        <v>109</v>
      </c>
      <c r="E167" t="s">
        <v>559</v>
      </c>
      <c r="F167" t="s">
        <v>136</v>
      </c>
      <c r="G167" t="s">
        <v>65</v>
      </c>
      <c r="H167" t="s">
        <v>66</v>
      </c>
      <c r="I167" t="s">
        <v>93</v>
      </c>
      <c r="J167" s="3">
        <v>44105</v>
      </c>
      <c r="K167">
        <v>5.3</v>
      </c>
      <c r="L167">
        <v>34</v>
      </c>
      <c r="M167" s="4">
        <v>15200</v>
      </c>
      <c r="N167" s="4">
        <v>247027</v>
      </c>
      <c r="O167" t="s">
        <v>68</v>
      </c>
      <c r="P167" t="s">
        <v>69</v>
      </c>
      <c r="Q167">
        <v>1.97</v>
      </c>
      <c r="R167">
        <v>51</v>
      </c>
      <c r="S167">
        <v>32</v>
      </c>
      <c r="T167" t="s">
        <v>69</v>
      </c>
      <c r="U167">
        <v>0</v>
      </c>
      <c r="V167">
        <v>25</v>
      </c>
      <c r="W167" t="s">
        <v>70</v>
      </c>
      <c r="X167" t="s">
        <v>68</v>
      </c>
      <c r="Y167" t="s">
        <v>86</v>
      </c>
      <c r="Z167" t="s">
        <v>108</v>
      </c>
    </row>
    <row r="168" spans="1:26" x14ac:dyDescent="0.2">
      <c r="A168" t="s">
        <v>560</v>
      </c>
      <c r="B168" t="s">
        <v>561</v>
      </c>
      <c r="C168" t="s">
        <v>96</v>
      </c>
      <c r="D168" t="s">
        <v>129</v>
      </c>
      <c r="E168" t="s">
        <v>562</v>
      </c>
      <c r="F168" t="s">
        <v>77</v>
      </c>
      <c r="G168" t="s">
        <v>65</v>
      </c>
      <c r="H168" t="s">
        <v>66</v>
      </c>
      <c r="I168" t="s">
        <v>236</v>
      </c>
      <c r="J168" s="3">
        <v>44658</v>
      </c>
      <c r="K168">
        <v>3.7</v>
      </c>
      <c r="L168">
        <v>33</v>
      </c>
      <c r="M168" s="4">
        <v>8300</v>
      </c>
      <c r="N168" s="4">
        <v>133250</v>
      </c>
      <c r="O168" t="s">
        <v>68</v>
      </c>
      <c r="P168" t="s">
        <v>69</v>
      </c>
      <c r="Q168">
        <v>2.95</v>
      </c>
      <c r="R168">
        <v>62</v>
      </c>
      <c r="S168">
        <v>18</v>
      </c>
      <c r="T168" t="s">
        <v>69</v>
      </c>
      <c r="U168">
        <v>1</v>
      </c>
      <c r="V168">
        <v>20</v>
      </c>
      <c r="W168" t="s">
        <v>70</v>
      </c>
      <c r="X168" t="s">
        <v>68</v>
      </c>
      <c r="Y168" t="s">
        <v>71</v>
      </c>
      <c r="Z168" t="s">
        <v>96</v>
      </c>
    </row>
    <row r="169" spans="1:26" x14ac:dyDescent="0.2">
      <c r="A169" t="s">
        <v>563</v>
      </c>
      <c r="B169" t="s">
        <v>564</v>
      </c>
      <c r="C169" t="s">
        <v>74</v>
      </c>
      <c r="D169" t="s">
        <v>313</v>
      </c>
      <c r="E169" t="s">
        <v>526</v>
      </c>
      <c r="F169" t="s">
        <v>136</v>
      </c>
      <c r="G169" t="s">
        <v>65</v>
      </c>
      <c r="H169" t="s">
        <v>78</v>
      </c>
      <c r="I169" t="s">
        <v>111</v>
      </c>
      <c r="J169" s="3">
        <v>40924</v>
      </c>
      <c r="K169">
        <v>14</v>
      </c>
      <c r="L169">
        <v>38</v>
      </c>
      <c r="M169" s="4">
        <v>15700</v>
      </c>
      <c r="N169" s="4">
        <v>226401</v>
      </c>
      <c r="O169" t="s">
        <v>68</v>
      </c>
      <c r="P169" t="s">
        <v>69</v>
      </c>
      <c r="Q169">
        <v>2.95</v>
      </c>
      <c r="R169">
        <v>78</v>
      </c>
      <c r="S169">
        <v>29</v>
      </c>
      <c r="T169" t="s">
        <v>69</v>
      </c>
      <c r="U169">
        <v>2</v>
      </c>
      <c r="V169">
        <v>34</v>
      </c>
      <c r="W169" t="s">
        <v>70</v>
      </c>
      <c r="X169" t="s">
        <v>68</v>
      </c>
      <c r="Y169" t="s">
        <v>71</v>
      </c>
      <c r="Z169" t="s">
        <v>74</v>
      </c>
    </row>
    <row r="170" spans="1:26" x14ac:dyDescent="0.2">
      <c r="A170" t="s">
        <v>565</v>
      </c>
      <c r="B170" t="s">
        <v>566</v>
      </c>
      <c r="C170" t="s">
        <v>96</v>
      </c>
      <c r="D170" t="s">
        <v>234</v>
      </c>
      <c r="E170" t="s">
        <v>408</v>
      </c>
      <c r="F170" t="s">
        <v>120</v>
      </c>
      <c r="G170" t="s">
        <v>65</v>
      </c>
      <c r="H170" t="s">
        <v>66</v>
      </c>
      <c r="I170" t="s">
        <v>115</v>
      </c>
      <c r="J170" s="3">
        <v>42884</v>
      </c>
      <c r="K170">
        <v>8.6</v>
      </c>
      <c r="L170">
        <v>22</v>
      </c>
      <c r="M170" s="4">
        <v>8700</v>
      </c>
      <c r="N170" s="4">
        <v>124368</v>
      </c>
      <c r="O170" t="s">
        <v>69</v>
      </c>
      <c r="P170" t="s">
        <v>69</v>
      </c>
      <c r="Q170">
        <v>3.63</v>
      </c>
      <c r="R170">
        <v>74</v>
      </c>
      <c r="S170">
        <v>33</v>
      </c>
      <c r="T170" t="s">
        <v>69</v>
      </c>
      <c r="U170">
        <v>6</v>
      </c>
      <c r="V170">
        <v>25</v>
      </c>
      <c r="W170" t="s">
        <v>68</v>
      </c>
      <c r="X170" t="s">
        <v>69</v>
      </c>
      <c r="Y170" t="s">
        <v>71</v>
      </c>
      <c r="Z170" t="s">
        <v>96</v>
      </c>
    </row>
    <row r="171" spans="1:26" x14ac:dyDescent="0.2">
      <c r="A171" t="s">
        <v>567</v>
      </c>
      <c r="B171" t="s">
        <v>551</v>
      </c>
      <c r="C171" t="s">
        <v>143</v>
      </c>
      <c r="D171" t="s">
        <v>207</v>
      </c>
      <c r="E171" t="s">
        <v>444</v>
      </c>
      <c r="F171" t="s">
        <v>92</v>
      </c>
      <c r="G171" t="s">
        <v>65</v>
      </c>
      <c r="H171" t="s">
        <v>66</v>
      </c>
      <c r="I171" t="s">
        <v>148</v>
      </c>
      <c r="J171" s="3">
        <v>43504</v>
      </c>
      <c r="K171">
        <v>6.9</v>
      </c>
      <c r="L171">
        <v>26</v>
      </c>
      <c r="M171" s="4">
        <v>3900</v>
      </c>
      <c r="N171" s="4">
        <v>63006</v>
      </c>
      <c r="O171" t="s">
        <v>68</v>
      </c>
      <c r="P171" t="s">
        <v>69</v>
      </c>
      <c r="Q171">
        <v>2.37</v>
      </c>
      <c r="R171">
        <v>41</v>
      </c>
      <c r="S171">
        <v>14</v>
      </c>
      <c r="T171" t="s">
        <v>69</v>
      </c>
      <c r="U171">
        <v>4</v>
      </c>
      <c r="V171">
        <v>26</v>
      </c>
      <c r="W171" t="s">
        <v>70</v>
      </c>
      <c r="X171" t="s">
        <v>68</v>
      </c>
      <c r="Y171" t="s">
        <v>86</v>
      </c>
      <c r="Z171" t="s">
        <v>143</v>
      </c>
    </row>
    <row r="172" spans="1:26" x14ac:dyDescent="0.2">
      <c r="A172" t="s">
        <v>568</v>
      </c>
      <c r="B172" t="s">
        <v>569</v>
      </c>
      <c r="C172" t="s">
        <v>89</v>
      </c>
      <c r="D172" t="s">
        <v>154</v>
      </c>
      <c r="E172" t="s">
        <v>325</v>
      </c>
      <c r="F172" t="s">
        <v>64</v>
      </c>
      <c r="G172" t="s">
        <v>65</v>
      </c>
      <c r="H172" t="s">
        <v>78</v>
      </c>
      <c r="I172" t="s">
        <v>67</v>
      </c>
      <c r="J172" s="3">
        <v>43229</v>
      </c>
      <c r="K172">
        <v>7.7</v>
      </c>
      <c r="L172">
        <v>35</v>
      </c>
      <c r="M172" s="4">
        <v>7900</v>
      </c>
      <c r="N172" s="4">
        <v>125130</v>
      </c>
      <c r="O172" t="s">
        <v>68</v>
      </c>
      <c r="P172" t="s">
        <v>69</v>
      </c>
      <c r="Q172">
        <v>3.41</v>
      </c>
      <c r="R172">
        <v>68</v>
      </c>
      <c r="S172">
        <v>17</v>
      </c>
      <c r="T172" t="s">
        <v>69</v>
      </c>
      <c r="U172">
        <v>7</v>
      </c>
      <c r="V172">
        <v>46</v>
      </c>
      <c r="W172" t="s">
        <v>70</v>
      </c>
      <c r="X172" t="s">
        <v>68</v>
      </c>
      <c r="Y172" t="s">
        <v>86</v>
      </c>
      <c r="Z172" t="s">
        <v>89</v>
      </c>
    </row>
    <row r="173" spans="1:26" x14ac:dyDescent="0.2">
      <c r="A173" t="s">
        <v>570</v>
      </c>
      <c r="B173" t="s">
        <v>229</v>
      </c>
      <c r="C173" t="s">
        <v>89</v>
      </c>
      <c r="D173" t="s">
        <v>230</v>
      </c>
      <c r="E173" t="s">
        <v>322</v>
      </c>
      <c r="F173" t="s">
        <v>84</v>
      </c>
      <c r="G173" t="s">
        <v>65</v>
      </c>
      <c r="H173" t="s">
        <v>66</v>
      </c>
      <c r="I173" t="s">
        <v>67</v>
      </c>
      <c r="J173" s="3">
        <v>43063</v>
      </c>
      <c r="K173">
        <v>8.1</v>
      </c>
      <c r="L173">
        <v>22</v>
      </c>
      <c r="M173" s="4">
        <v>14100</v>
      </c>
      <c r="N173" s="4">
        <v>215756</v>
      </c>
      <c r="O173" t="s">
        <v>69</v>
      </c>
      <c r="P173" t="s">
        <v>69</v>
      </c>
      <c r="Q173">
        <v>3.4</v>
      </c>
      <c r="R173">
        <v>65</v>
      </c>
      <c r="S173">
        <v>36</v>
      </c>
      <c r="T173" t="s">
        <v>69</v>
      </c>
      <c r="U173">
        <v>4</v>
      </c>
      <c r="V173">
        <v>67</v>
      </c>
      <c r="W173" t="s">
        <v>68</v>
      </c>
      <c r="X173" t="s">
        <v>68</v>
      </c>
      <c r="Y173" t="s">
        <v>86</v>
      </c>
      <c r="Z173" t="s">
        <v>89</v>
      </c>
    </row>
    <row r="174" spans="1:26" x14ac:dyDescent="0.2">
      <c r="A174" t="s">
        <v>571</v>
      </c>
      <c r="B174" t="s">
        <v>572</v>
      </c>
      <c r="C174" t="s">
        <v>96</v>
      </c>
      <c r="D174" t="s">
        <v>97</v>
      </c>
      <c r="E174" t="s">
        <v>98</v>
      </c>
      <c r="F174" t="s">
        <v>77</v>
      </c>
      <c r="G174" t="s">
        <v>65</v>
      </c>
      <c r="H174" t="s">
        <v>66</v>
      </c>
      <c r="I174" t="s">
        <v>99</v>
      </c>
      <c r="J174" s="3">
        <v>45534</v>
      </c>
      <c r="K174">
        <v>1.3</v>
      </c>
      <c r="L174">
        <v>50</v>
      </c>
      <c r="M174" s="4">
        <v>11200</v>
      </c>
      <c r="N174" s="4">
        <v>161445</v>
      </c>
      <c r="O174" t="s">
        <v>68</v>
      </c>
      <c r="P174" t="s">
        <v>69</v>
      </c>
      <c r="Q174">
        <v>3.61</v>
      </c>
      <c r="R174">
        <v>80</v>
      </c>
      <c r="S174">
        <v>25</v>
      </c>
      <c r="T174" t="s">
        <v>69</v>
      </c>
      <c r="U174">
        <v>3</v>
      </c>
      <c r="V174">
        <v>6</v>
      </c>
      <c r="W174" t="s">
        <v>70</v>
      </c>
      <c r="X174" t="s">
        <v>69</v>
      </c>
      <c r="Y174" t="s">
        <v>71</v>
      </c>
      <c r="Z174" t="s">
        <v>96</v>
      </c>
    </row>
    <row r="175" spans="1:26" x14ac:dyDescent="0.2">
      <c r="A175" t="s">
        <v>573</v>
      </c>
      <c r="B175" t="s">
        <v>574</v>
      </c>
      <c r="C175" t="s">
        <v>102</v>
      </c>
      <c r="D175" t="s">
        <v>103</v>
      </c>
      <c r="E175" t="s">
        <v>104</v>
      </c>
      <c r="F175" t="s">
        <v>92</v>
      </c>
      <c r="G175" t="s">
        <v>227</v>
      </c>
      <c r="H175" t="s">
        <v>66</v>
      </c>
      <c r="I175" t="s">
        <v>99</v>
      </c>
      <c r="J175" s="3">
        <v>41559</v>
      </c>
      <c r="K175">
        <v>12.2</v>
      </c>
      <c r="L175">
        <v>51</v>
      </c>
      <c r="M175" s="4">
        <v>4500</v>
      </c>
      <c r="N175" s="4">
        <v>71377</v>
      </c>
      <c r="O175" t="s">
        <v>68</v>
      </c>
      <c r="P175" t="s">
        <v>69</v>
      </c>
      <c r="Q175">
        <v>3.41</v>
      </c>
      <c r="R175">
        <v>63</v>
      </c>
      <c r="S175">
        <v>29</v>
      </c>
      <c r="T175" t="s">
        <v>69</v>
      </c>
      <c r="U175">
        <v>4</v>
      </c>
      <c r="V175">
        <v>38</v>
      </c>
      <c r="W175" t="s">
        <v>70</v>
      </c>
      <c r="X175" t="s">
        <v>68</v>
      </c>
      <c r="Y175" t="s">
        <v>86</v>
      </c>
      <c r="Z175" t="s">
        <v>102</v>
      </c>
    </row>
    <row r="176" spans="1:26" x14ac:dyDescent="0.2">
      <c r="A176" t="s">
        <v>575</v>
      </c>
      <c r="B176" t="s">
        <v>576</v>
      </c>
      <c r="C176" t="s">
        <v>143</v>
      </c>
      <c r="D176" t="s">
        <v>158</v>
      </c>
      <c r="E176" t="s">
        <v>577</v>
      </c>
      <c r="F176" t="s">
        <v>120</v>
      </c>
      <c r="G176" t="s">
        <v>227</v>
      </c>
      <c r="H176" t="s">
        <v>66</v>
      </c>
      <c r="I176" t="s">
        <v>67</v>
      </c>
      <c r="J176" s="3">
        <v>42571</v>
      </c>
      <c r="K176">
        <v>9.5</v>
      </c>
      <c r="L176">
        <v>44</v>
      </c>
      <c r="M176" s="4">
        <v>7900</v>
      </c>
      <c r="N176" s="4">
        <v>118557</v>
      </c>
      <c r="O176" t="s">
        <v>68</v>
      </c>
      <c r="P176" t="s">
        <v>69</v>
      </c>
      <c r="Q176">
        <v>3.08</v>
      </c>
      <c r="R176">
        <v>73</v>
      </c>
      <c r="S176">
        <v>46</v>
      </c>
      <c r="T176" t="s">
        <v>69</v>
      </c>
      <c r="U176">
        <v>1</v>
      </c>
      <c r="V176">
        <v>17</v>
      </c>
      <c r="W176" t="s">
        <v>70</v>
      </c>
      <c r="X176" t="s">
        <v>68</v>
      </c>
      <c r="Y176" t="s">
        <v>71</v>
      </c>
      <c r="Z176" t="s">
        <v>143</v>
      </c>
    </row>
    <row r="177" spans="1:26" x14ac:dyDescent="0.2">
      <c r="A177" t="s">
        <v>578</v>
      </c>
      <c r="B177" t="s">
        <v>579</v>
      </c>
      <c r="C177" t="s">
        <v>89</v>
      </c>
      <c r="D177" t="s">
        <v>239</v>
      </c>
      <c r="E177" t="s">
        <v>580</v>
      </c>
      <c r="F177" t="s">
        <v>77</v>
      </c>
      <c r="G177" t="s">
        <v>65</v>
      </c>
      <c r="H177" t="s">
        <v>78</v>
      </c>
      <c r="I177" t="s">
        <v>121</v>
      </c>
      <c r="J177" s="3">
        <v>42213</v>
      </c>
      <c r="K177">
        <v>10.4</v>
      </c>
      <c r="L177">
        <v>31</v>
      </c>
      <c r="M177" s="4">
        <v>10000</v>
      </c>
      <c r="N177" s="4">
        <v>159217</v>
      </c>
      <c r="O177" t="s">
        <v>68</v>
      </c>
      <c r="P177" t="s">
        <v>69</v>
      </c>
      <c r="Q177">
        <v>2.83</v>
      </c>
      <c r="R177">
        <v>66</v>
      </c>
      <c r="S177">
        <v>39</v>
      </c>
      <c r="T177" t="s">
        <v>69</v>
      </c>
      <c r="U177">
        <v>5</v>
      </c>
      <c r="V177">
        <v>34</v>
      </c>
      <c r="W177" t="s">
        <v>70</v>
      </c>
      <c r="X177" t="s">
        <v>68</v>
      </c>
      <c r="Y177" t="s">
        <v>71</v>
      </c>
      <c r="Z177" t="s">
        <v>89</v>
      </c>
    </row>
    <row r="178" spans="1:26" x14ac:dyDescent="0.2">
      <c r="A178" t="s">
        <v>581</v>
      </c>
      <c r="B178" t="s">
        <v>582</v>
      </c>
      <c r="C178" t="s">
        <v>89</v>
      </c>
      <c r="D178" t="s">
        <v>154</v>
      </c>
      <c r="E178" t="s">
        <v>325</v>
      </c>
      <c r="F178" t="s">
        <v>64</v>
      </c>
      <c r="G178" t="s">
        <v>65</v>
      </c>
      <c r="H178" t="s">
        <v>78</v>
      </c>
      <c r="I178" t="s">
        <v>67</v>
      </c>
      <c r="J178" s="3">
        <v>41023</v>
      </c>
      <c r="K178">
        <v>13.7</v>
      </c>
      <c r="L178">
        <v>44</v>
      </c>
      <c r="M178" s="4">
        <v>7100</v>
      </c>
      <c r="N178" s="4">
        <v>110748</v>
      </c>
      <c r="O178" t="s">
        <v>68</v>
      </c>
      <c r="P178" t="s">
        <v>69</v>
      </c>
      <c r="Q178">
        <v>3.31</v>
      </c>
      <c r="R178">
        <v>70</v>
      </c>
      <c r="S178">
        <v>26</v>
      </c>
      <c r="T178" t="s">
        <v>69</v>
      </c>
      <c r="U178">
        <v>9</v>
      </c>
      <c r="V178">
        <v>24</v>
      </c>
      <c r="W178" t="s">
        <v>70</v>
      </c>
      <c r="X178" t="s">
        <v>68</v>
      </c>
      <c r="Y178" t="s">
        <v>71</v>
      </c>
      <c r="Z178" t="s">
        <v>89</v>
      </c>
    </row>
    <row r="179" spans="1:26" x14ac:dyDescent="0.2">
      <c r="A179" t="s">
        <v>583</v>
      </c>
      <c r="B179" t="s">
        <v>584</v>
      </c>
      <c r="C179" t="s">
        <v>108</v>
      </c>
      <c r="D179" t="s">
        <v>194</v>
      </c>
      <c r="E179" t="s">
        <v>296</v>
      </c>
      <c r="F179" t="s">
        <v>120</v>
      </c>
      <c r="G179" t="s">
        <v>65</v>
      </c>
      <c r="H179" t="s">
        <v>78</v>
      </c>
      <c r="I179" t="s">
        <v>111</v>
      </c>
      <c r="J179" s="3">
        <v>42215</v>
      </c>
      <c r="K179">
        <v>10.4</v>
      </c>
      <c r="L179">
        <v>31</v>
      </c>
      <c r="M179" s="4">
        <v>7000</v>
      </c>
      <c r="N179" s="4">
        <v>99801</v>
      </c>
      <c r="O179" t="s">
        <v>68</v>
      </c>
      <c r="P179" t="s">
        <v>69</v>
      </c>
      <c r="Q179">
        <v>2.95</v>
      </c>
      <c r="R179">
        <v>70</v>
      </c>
      <c r="S179">
        <v>37</v>
      </c>
      <c r="T179" t="s">
        <v>69</v>
      </c>
      <c r="U179">
        <v>5</v>
      </c>
      <c r="V179">
        <v>52</v>
      </c>
      <c r="W179" t="s">
        <v>70</v>
      </c>
      <c r="X179" t="s">
        <v>68</v>
      </c>
      <c r="Y179" t="s">
        <v>71</v>
      </c>
      <c r="Z179" t="s">
        <v>108</v>
      </c>
    </row>
    <row r="180" spans="1:26" x14ac:dyDescent="0.2">
      <c r="A180" t="s">
        <v>585</v>
      </c>
      <c r="B180" t="s">
        <v>107</v>
      </c>
      <c r="C180" t="s">
        <v>89</v>
      </c>
      <c r="D180" t="s">
        <v>230</v>
      </c>
      <c r="E180" t="s">
        <v>586</v>
      </c>
      <c r="F180" t="s">
        <v>92</v>
      </c>
      <c r="G180" t="s">
        <v>65</v>
      </c>
      <c r="H180" t="s">
        <v>66</v>
      </c>
      <c r="I180" t="s">
        <v>111</v>
      </c>
      <c r="J180" s="3">
        <v>44576</v>
      </c>
      <c r="K180">
        <v>4</v>
      </c>
      <c r="L180">
        <v>29</v>
      </c>
      <c r="M180" s="4">
        <v>4000</v>
      </c>
      <c r="N180" s="4">
        <v>58280</v>
      </c>
      <c r="O180" t="s">
        <v>68</v>
      </c>
      <c r="P180" t="s">
        <v>69</v>
      </c>
      <c r="Q180">
        <v>3.24</v>
      </c>
      <c r="R180">
        <v>58</v>
      </c>
      <c r="S180">
        <v>21</v>
      </c>
      <c r="T180" t="s">
        <v>69</v>
      </c>
      <c r="U180">
        <v>2</v>
      </c>
      <c r="V180">
        <v>29</v>
      </c>
      <c r="W180" t="s">
        <v>70</v>
      </c>
      <c r="X180" t="s">
        <v>68</v>
      </c>
      <c r="Y180" t="s">
        <v>86</v>
      </c>
      <c r="Z180" t="s">
        <v>89</v>
      </c>
    </row>
    <row r="181" spans="1:26" x14ac:dyDescent="0.2">
      <c r="A181" t="s">
        <v>587</v>
      </c>
      <c r="B181" t="s">
        <v>588</v>
      </c>
      <c r="C181" t="s">
        <v>143</v>
      </c>
      <c r="D181" t="s">
        <v>144</v>
      </c>
      <c r="E181" t="s">
        <v>145</v>
      </c>
      <c r="F181" t="s">
        <v>77</v>
      </c>
      <c r="G181" t="s">
        <v>65</v>
      </c>
      <c r="H181" t="s">
        <v>78</v>
      </c>
      <c r="I181" t="s">
        <v>148</v>
      </c>
      <c r="J181" s="3">
        <v>43721</v>
      </c>
      <c r="K181">
        <v>6.3</v>
      </c>
      <c r="L181">
        <v>60</v>
      </c>
      <c r="M181" s="4">
        <v>11100</v>
      </c>
      <c r="N181" s="4">
        <v>165876</v>
      </c>
      <c r="O181" t="s">
        <v>68</v>
      </c>
      <c r="P181" t="s">
        <v>69</v>
      </c>
      <c r="Q181">
        <v>3.84</v>
      </c>
      <c r="R181">
        <v>69</v>
      </c>
      <c r="S181">
        <v>32</v>
      </c>
      <c r="T181" t="s">
        <v>69</v>
      </c>
      <c r="U181">
        <v>8</v>
      </c>
      <c r="V181">
        <v>0</v>
      </c>
      <c r="W181" t="s">
        <v>70</v>
      </c>
      <c r="X181" t="s">
        <v>69</v>
      </c>
      <c r="Y181" t="s">
        <v>71</v>
      </c>
      <c r="Z181" t="s">
        <v>143</v>
      </c>
    </row>
    <row r="182" spans="1:26" x14ac:dyDescent="0.2">
      <c r="A182" t="s">
        <v>589</v>
      </c>
      <c r="B182" t="s">
        <v>590</v>
      </c>
      <c r="C182" t="s">
        <v>96</v>
      </c>
      <c r="D182" t="s">
        <v>234</v>
      </c>
      <c r="E182" t="s">
        <v>591</v>
      </c>
      <c r="F182" t="s">
        <v>64</v>
      </c>
      <c r="G182" t="s">
        <v>65</v>
      </c>
      <c r="H182" t="s">
        <v>66</v>
      </c>
      <c r="I182" t="s">
        <v>79</v>
      </c>
      <c r="J182" s="3">
        <v>42741</v>
      </c>
      <c r="K182">
        <v>9</v>
      </c>
      <c r="L182">
        <v>40</v>
      </c>
      <c r="M182" s="4">
        <v>7300</v>
      </c>
      <c r="N182" s="4">
        <v>118056</v>
      </c>
      <c r="O182" t="s">
        <v>68</v>
      </c>
      <c r="P182" t="s">
        <v>69</v>
      </c>
      <c r="Q182">
        <v>2.89</v>
      </c>
      <c r="R182">
        <v>62</v>
      </c>
      <c r="S182">
        <v>42</v>
      </c>
      <c r="T182" t="s">
        <v>69</v>
      </c>
      <c r="U182">
        <v>8</v>
      </c>
      <c r="V182">
        <v>0</v>
      </c>
      <c r="W182" t="s">
        <v>70</v>
      </c>
      <c r="X182" t="s">
        <v>68</v>
      </c>
      <c r="Y182" t="s">
        <v>71</v>
      </c>
      <c r="Z182" t="s">
        <v>96</v>
      </c>
    </row>
    <row r="183" spans="1:26" x14ac:dyDescent="0.2">
      <c r="A183" t="s">
        <v>592</v>
      </c>
      <c r="B183" t="s">
        <v>574</v>
      </c>
      <c r="C183" t="s">
        <v>143</v>
      </c>
      <c r="D183" t="s">
        <v>207</v>
      </c>
      <c r="E183" t="s">
        <v>400</v>
      </c>
      <c r="F183" t="s">
        <v>120</v>
      </c>
      <c r="G183" t="s">
        <v>85</v>
      </c>
      <c r="H183" t="s">
        <v>78</v>
      </c>
      <c r="I183" t="s">
        <v>148</v>
      </c>
      <c r="J183" s="3">
        <v>41410</v>
      </c>
      <c r="K183">
        <v>12.6</v>
      </c>
      <c r="L183">
        <v>43</v>
      </c>
      <c r="M183" s="4">
        <v>8200</v>
      </c>
      <c r="N183" s="4">
        <v>123057</v>
      </c>
      <c r="O183" t="s">
        <v>69</v>
      </c>
      <c r="P183" t="s">
        <v>69</v>
      </c>
      <c r="Q183">
        <v>3.69</v>
      </c>
      <c r="R183">
        <v>58</v>
      </c>
      <c r="S183">
        <v>37</v>
      </c>
      <c r="T183" t="s">
        <v>69</v>
      </c>
      <c r="U183">
        <v>3</v>
      </c>
      <c r="V183">
        <v>0</v>
      </c>
      <c r="W183" t="s">
        <v>68</v>
      </c>
      <c r="X183" t="s">
        <v>69</v>
      </c>
      <c r="Y183" t="s">
        <v>71</v>
      </c>
      <c r="Z183" t="s">
        <v>143</v>
      </c>
    </row>
    <row r="184" spans="1:26" x14ac:dyDescent="0.2">
      <c r="A184" t="s">
        <v>593</v>
      </c>
      <c r="B184" t="s">
        <v>594</v>
      </c>
      <c r="C184" t="s">
        <v>89</v>
      </c>
      <c r="D184" t="s">
        <v>239</v>
      </c>
      <c r="E184" t="s">
        <v>372</v>
      </c>
      <c r="F184" t="s">
        <v>120</v>
      </c>
      <c r="G184" t="s">
        <v>215</v>
      </c>
      <c r="H184" t="s">
        <v>78</v>
      </c>
      <c r="I184" t="s">
        <v>67</v>
      </c>
      <c r="J184" s="3">
        <v>45409</v>
      </c>
      <c r="K184">
        <v>1.7</v>
      </c>
      <c r="L184">
        <v>28</v>
      </c>
      <c r="M184" s="4">
        <v>8700</v>
      </c>
      <c r="N184" s="4">
        <v>127375</v>
      </c>
      <c r="O184" t="s">
        <v>68</v>
      </c>
      <c r="P184" t="s">
        <v>69</v>
      </c>
      <c r="Q184">
        <v>2.7</v>
      </c>
      <c r="R184">
        <v>73</v>
      </c>
      <c r="S184">
        <v>44</v>
      </c>
      <c r="T184" t="s">
        <v>69</v>
      </c>
      <c r="U184">
        <v>10</v>
      </c>
      <c r="V184">
        <v>20</v>
      </c>
      <c r="W184" t="s">
        <v>70</v>
      </c>
      <c r="X184" t="s">
        <v>68</v>
      </c>
      <c r="Y184" t="s">
        <v>71</v>
      </c>
      <c r="Z184" t="s">
        <v>89</v>
      </c>
    </row>
    <row r="185" spans="1:26" x14ac:dyDescent="0.2">
      <c r="A185" t="s">
        <v>595</v>
      </c>
      <c r="B185" t="s">
        <v>180</v>
      </c>
      <c r="C185" t="s">
        <v>12</v>
      </c>
      <c r="D185" t="s">
        <v>200</v>
      </c>
      <c r="E185" t="s">
        <v>596</v>
      </c>
      <c r="F185" t="s">
        <v>92</v>
      </c>
      <c r="G185" t="s">
        <v>65</v>
      </c>
      <c r="H185" t="s">
        <v>78</v>
      </c>
      <c r="I185" t="s">
        <v>148</v>
      </c>
      <c r="J185" s="3">
        <v>41748</v>
      </c>
      <c r="K185">
        <v>11.7</v>
      </c>
      <c r="L185">
        <v>29</v>
      </c>
      <c r="M185" s="4">
        <v>4400</v>
      </c>
      <c r="N185" s="4">
        <v>71831</v>
      </c>
      <c r="O185" t="s">
        <v>68</v>
      </c>
      <c r="P185" t="s">
        <v>69</v>
      </c>
      <c r="Q185">
        <v>3.13</v>
      </c>
      <c r="R185">
        <v>67</v>
      </c>
      <c r="S185">
        <v>28</v>
      </c>
      <c r="T185" t="s">
        <v>69</v>
      </c>
      <c r="U185">
        <v>7</v>
      </c>
      <c r="V185">
        <v>4</v>
      </c>
      <c r="W185" t="s">
        <v>70</v>
      </c>
      <c r="X185" t="s">
        <v>68</v>
      </c>
      <c r="Y185" t="s">
        <v>71</v>
      </c>
      <c r="Z185" t="s">
        <v>12</v>
      </c>
    </row>
    <row r="186" spans="1:26" x14ac:dyDescent="0.2">
      <c r="A186" t="s">
        <v>597</v>
      </c>
      <c r="B186" t="s">
        <v>598</v>
      </c>
      <c r="C186" t="s">
        <v>89</v>
      </c>
      <c r="D186" t="s">
        <v>230</v>
      </c>
      <c r="E186" t="s">
        <v>231</v>
      </c>
      <c r="F186" t="s">
        <v>64</v>
      </c>
      <c r="G186" t="s">
        <v>85</v>
      </c>
      <c r="H186" t="s">
        <v>78</v>
      </c>
      <c r="I186" t="s">
        <v>111</v>
      </c>
      <c r="J186" s="3">
        <v>42767</v>
      </c>
      <c r="K186">
        <v>8.9</v>
      </c>
      <c r="L186">
        <v>23</v>
      </c>
      <c r="M186" s="4">
        <v>6600</v>
      </c>
      <c r="N186" s="4">
        <v>107423</v>
      </c>
      <c r="O186" t="s">
        <v>68</v>
      </c>
      <c r="P186" t="s">
        <v>69</v>
      </c>
      <c r="Q186">
        <v>3.08</v>
      </c>
      <c r="R186">
        <v>62</v>
      </c>
      <c r="S186">
        <v>47</v>
      </c>
      <c r="T186" t="s">
        <v>69</v>
      </c>
      <c r="U186">
        <v>2</v>
      </c>
      <c r="V186">
        <v>12</v>
      </c>
      <c r="W186" t="s">
        <v>70</v>
      </c>
      <c r="X186" t="s">
        <v>68</v>
      </c>
      <c r="Y186" t="s">
        <v>71</v>
      </c>
      <c r="Z186" t="s">
        <v>89</v>
      </c>
    </row>
    <row r="187" spans="1:26" x14ac:dyDescent="0.2">
      <c r="A187" t="s">
        <v>599</v>
      </c>
      <c r="B187" t="s">
        <v>150</v>
      </c>
      <c r="C187" t="s">
        <v>108</v>
      </c>
      <c r="D187" t="s">
        <v>109</v>
      </c>
      <c r="E187" t="s">
        <v>600</v>
      </c>
      <c r="F187" t="s">
        <v>120</v>
      </c>
      <c r="G187" t="s">
        <v>65</v>
      </c>
      <c r="H187" t="s">
        <v>78</v>
      </c>
      <c r="I187" t="s">
        <v>148</v>
      </c>
      <c r="J187" s="3">
        <v>44326</v>
      </c>
      <c r="K187">
        <v>4.5999999999999996</v>
      </c>
      <c r="L187">
        <v>38</v>
      </c>
      <c r="M187" s="4">
        <v>7800</v>
      </c>
      <c r="N187" s="4">
        <v>124133</v>
      </c>
      <c r="O187" t="s">
        <v>68</v>
      </c>
      <c r="P187" t="s">
        <v>69</v>
      </c>
      <c r="Q187">
        <v>3.41</v>
      </c>
      <c r="R187">
        <v>70</v>
      </c>
      <c r="S187">
        <v>32</v>
      </c>
      <c r="T187" t="s">
        <v>69</v>
      </c>
      <c r="U187">
        <v>4</v>
      </c>
      <c r="V187">
        <v>26</v>
      </c>
      <c r="W187" t="s">
        <v>70</v>
      </c>
      <c r="X187" t="s">
        <v>68</v>
      </c>
      <c r="Y187" t="s">
        <v>71</v>
      </c>
      <c r="Z187" t="s">
        <v>108</v>
      </c>
    </row>
    <row r="188" spans="1:26" x14ac:dyDescent="0.2">
      <c r="A188" t="s">
        <v>601</v>
      </c>
      <c r="B188" t="s">
        <v>602</v>
      </c>
      <c r="C188" t="s">
        <v>12</v>
      </c>
      <c r="D188" t="s">
        <v>82</v>
      </c>
      <c r="E188" t="s">
        <v>83</v>
      </c>
      <c r="F188" t="s">
        <v>84</v>
      </c>
      <c r="G188" t="s">
        <v>65</v>
      </c>
      <c r="H188" t="s">
        <v>66</v>
      </c>
      <c r="I188" t="s">
        <v>99</v>
      </c>
      <c r="J188" s="3">
        <v>45966</v>
      </c>
      <c r="K188">
        <v>0.2</v>
      </c>
      <c r="L188">
        <v>47</v>
      </c>
      <c r="M188" s="4">
        <v>21200</v>
      </c>
      <c r="N188" s="4">
        <v>311756</v>
      </c>
      <c r="O188" t="s">
        <v>69</v>
      </c>
      <c r="P188" t="s">
        <v>68</v>
      </c>
      <c r="Q188">
        <v>3</v>
      </c>
      <c r="R188">
        <v>66</v>
      </c>
      <c r="S188">
        <v>20</v>
      </c>
      <c r="T188" t="s">
        <v>69</v>
      </c>
      <c r="U188">
        <v>2</v>
      </c>
      <c r="V188">
        <v>0</v>
      </c>
      <c r="W188" t="s">
        <v>69</v>
      </c>
      <c r="X188" t="s">
        <v>68</v>
      </c>
      <c r="Y188" t="s">
        <v>71</v>
      </c>
      <c r="Z188" t="s">
        <v>12</v>
      </c>
    </row>
    <row r="189" spans="1:26" x14ac:dyDescent="0.2">
      <c r="A189" t="s">
        <v>603</v>
      </c>
      <c r="B189" t="s">
        <v>561</v>
      </c>
      <c r="C189" t="s">
        <v>61</v>
      </c>
      <c r="D189" t="s">
        <v>604</v>
      </c>
      <c r="E189" t="s">
        <v>605</v>
      </c>
      <c r="F189" t="s">
        <v>136</v>
      </c>
      <c r="G189" t="s">
        <v>65</v>
      </c>
      <c r="H189" t="s">
        <v>66</v>
      </c>
      <c r="I189" t="s">
        <v>93</v>
      </c>
      <c r="J189" s="3">
        <v>44597</v>
      </c>
      <c r="K189">
        <v>3.9</v>
      </c>
      <c r="L189">
        <v>39</v>
      </c>
      <c r="M189" s="4">
        <v>15000</v>
      </c>
      <c r="N189" s="4">
        <v>225231</v>
      </c>
      <c r="O189" t="s">
        <v>68</v>
      </c>
      <c r="P189" t="s">
        <v>68</v>
      </c>
      <c r="Q189">
        <v>3.4</v>
      </c>
      <c r="R189">
        <v>72</v>
      </c>
      <c r="S189">
        <v>24</v>
      </c>
      <c r="T189" t="s">
        <v>69</v>
      </c>
      <c r="U189">
        <v>0</v>
      </c>
      <c r="V189">
        <v>25</v>
      </c>
      <c r="W189" t="s">
        <v>70</v>
      </c>
      <c r="X189" t="s">
        <v>68</v>
      </c>
      <c r="Y189" t="s">
        <v>71</v>
      </c>
      <c r="Z189" t="s">
        <v>61</v>
      </c>
    </row>
    <row r="190" spans="1:26" x14ac:dyDescent="0.2">
      <c r="A190" t="s">
        <v>606</v>
      </c>
      <c r="B190" t="s">
        <v>142</v>
      </c>
      <c r="C190" t="s">
        <v>143</v>
      </c>
      <c r="D190" t="s">
        <v>158</v>
      </c>
      <c r="E190" t="s">
        <v>607</v>
      </c>
      <c r="F190" t="s">
        <v>92</v>
      </c>
      <c r="G190" t="s">
        <v>65</v>
      </c>
      <c r="H190" t="s">
        <v>66</v>
      </c>
      <c r="I190" t="s">
        <v>148</v>
      </c>
      <c r="J190" s="3">
        <v>41724</v>
      </c>
      <c r="K190">
        <v>11.8</v>
      </c>
      <c r="L190">
        <v>28</v>
      </c>
      <c r="M190" s="4">
        <v>4800</v>
      </c>
      <c r="N190" s="4">
        <v>72838</v>
      </c>
      <c r="O190" t="s">
        <v>68</v>
      </c>
      <c r="P190" t="s">
        <v>69</v>
      </c>
      <c r="Q190">
        <v>3.73</v>
      </c>
      <c r="R190">
        <v>59</v>
      </c>
      <c r="S190">
        <v>39</v>
      </c>
      <c r="T190" t="s">
        <v>69</v>
      </c>
      <c r="U190">
        <v>3</v>
      </c>
      <c r="V190">
        <v>0</v>
      </c>
      <c r="W190" t="s">
        <v>70</v>
      </c>
      <c r="X190" t="s">
        <v>69</v>
      </c>
      <c r="Y190" t="s">
        <v>71</v>
      </c>
      <c r="Z190" t="s">
        <v>143</v>
      </c>
    </row>
    <row r="191" spans="1:26" x14ac:dyDescent="0.2">
      <c r="A191" t="s">
        <v>608</v>
      </c>
      <c r="B191" t="s">
        <v>443</v>
      </c>
      <c r="C191" t="s">
        <v>74</v>
      </c>
      <c r="D191" t="s">
        <v>313</v>
      </c>
      <c r="E191" t="s">
        <v>609</v>
      </c>
      <c r="F191" t="s">
        <v>92</v>
      </c>
      <c r="G191" t="s">
        <v>65</v>
      </c>
      <c r="H191" t="s">
        <v>78</v>
      </c>
      <c r="I191" t="s">
        <v>121</v>
      </c>
      <c r="J191" s="3">
        <v>44709</v>
      </c>
      <c r="K191">
        <v>3.6</v>
      </c>
      <c r="L191">
        <v>35</v>
      </c>
      <c r="M191" s="4">
        <v>3900</v>
      </c>
      <c r="N191" s="4">
        <v>63785</v>
      </c>
      <c r="O191" t="s">
        <v>68</v>
      </c>
      <c r="P191" t="s">
        <v>68</v>
      </c>
      <c r="Q191">
        <v>3.01</v>
      </c>
      <c r="R191">
        <v>72</v>
      </c>
      <c r="S191">
        <v>37</v>
      </c>
      <c r="T191" t="s">
        <v>69</v>
      </c>
      <c r="U191">
        <v>14</v>
      </c>
      <c r="V191">
        <v>42</v>
      </c>
      <c r="W191" t="s">
        <v>70</v>
      </c>
      <c r="X191" t="s">
        <v>68</v>
      </c>
      <c r="Y191" t="s">
        <v>86</v>
      </c>
      <c r="Z191" t="s">
        <v>74</v>
      </c>
    </row>
    <row r="192" spans="1:26" x14ac:dyDescent="0.2">
      <c r="A192" t="s">
        <v>610</v>
      </c>
      <c r="B192" t="s">
        <v>611</v>
      </c>
      <c r="C192" t="s">
        <v>108</v>
      </c>
      <c r="D192" t="s">
        <v>194</v>
      </c>
      <c r="E192" t="s">
        <v>296</v>
      </c>
      <c r="F192" t="s">
        <v>120</v>
      </c>
      <c r="G192" t="s">
        <v>65</v>
      </c>
      <c r="H192" t="s">
        <v>66</v>
      </c>
      <c r="I192" t="s">
        <v>79</v>
      </c>
      <c r="J192" s="3">
        <v>44015</v>
      </c>
      <c r="K192">
        <v>5.5</v>
      </c>
      <c r="L192">
        <v>57</v>
      </c>
      <c r="M192" s="4">
        <v>10000</v>
      </c>
      <c r="N192" s="4">
        <v>154839</v>
      </c>
      <c r="O192" t="s">
        <v>68</v>
      </c>
      <c r="P192" t="s">
        <v>69</v>
      </c>
      <c r="Q192">
        <v>3.13</v>
      </c>
      <c r="R192">
        <v>70</v>
      </c>
      <c r="S192">
        <v>16</v>
      </c>
      <c r="T192" t="s">
        <v>69</v>
      </c>
      <c r="U192">
        <v>3</v>
      </c>
      <c r="V192">
        <v>26</v>
      </c>
      <c r="W192" t="s">
        <v>70</v>
      </c>
      <c r="X192" t="s">
        <v>68</v>
      </c>
      <c r="Y192" t="s">
        <v>71</v>
      </c>
      <c r="Z192" t="s">
        <v>108</v>
      </c>
    </row>
    <row r="193" spans="1:26" x14ac:dyDescent="0.2">
      <c r="A193" t="s">
        <v>612</v>
      </c>
      <c r="B193" t="s">
        <v>613</v>
      </c>
      <c r="C193" t="s">
        <v>96</v>
      </c>
      <c r="D193" t="s">
        <v>234</v>
      </c>
      <c r="E193" t="s">
        <v>235</v>
      </c>
      <c r="F193" t="s">
        <v>77</v>
      </c>
      <c r="G193" t="s">
        <v>65</v>
      </c>
      <c r="H193" t="s">
        <v>66</v>
      </c>
      <c r="I193" t="s">
        <v>79</v>
      </c>
      <c r="J193" s="3">
        <v>42710</v>
      </c>
      <c r="K193">
        <v>9.1</v>
      </c>
      <c r="L193">
        <v>30</v>
      </c>
      <c r="M193" s="4">
        <v>10000</v>
      </c>
      <c r="N193" s="4">
        <v>163498</v>
      </c>
      <c r="O193" t="s">
        <v>68</v>
      </c>
      <c r="P193" t="s">
        <v>69</v>
      </c>
      <c r="Q193">
        <v>3.25</v>
      </c>
      <c r="R193">
        <v>60</v>
      </c>
      <c r="S193">
        <v>20</v>
      </c>
      <c r="T193" t="s">
        <v>69</v>
      </c>
      <c r="U193">
        <v>6</v>
      </c>
      <c r="V193">
        <v>18</v>
      </c>
      <c r="W193" t="s">
        <v>70</v>
      </c>
      <c r="X193" t="s">
        <v>68</v>
      </c>
      <c r="Y193" t="s">
        <v>71</v>
      </c>
      <c r="Z193" t="s">
        <v>96</v>
      </c>
    </row>
    <row r="194" spans="1:26" x14ac:dyDescent="0.2">
      <c r="A194" t="s">
        <v>614</v>
      </c>
      <c r="B194" t="s">
        <v>210</v>
      </c>
      <c r="C194" t="s">
        <v>96</v>
      </c>
      <c r="D194" t="s">
        <v>234</v>
      </c>
      <c r="E194" t="s">
        <v>615</v>
      </c>
      <c r="F194" t="s">
        <v>84</v>
      </c>
      <c r="G194" t="s">
        <v>65</v>
      </c>
      <c r="H194" t="s">
        <v>78</v>
      </c>
      <c r="I194" t="s">
        <v>67</v>
      </c>
      <c r="J194" s="3">
        <v>44922</v>
      </c>
      <c r="K194">
        <v>3</v>
      </c>
      <c r="L194">
        <v>57</v>
      </c>
      <c r="M194" s="4">
        <v>22700</v>
      </c>
      <c r="N194" s="4">
        <v>338226</v>
      </c>
      <c r="O194" t="s">
        <v>69</v>
      </c>
      <c r="P194" t="s">
        <v>69</v>
      </c>
      <c r="Q194">
        <v>3.81</v>
      </c>
      <c r="R194">
        <v>79</v>
      </c>
      <c r="S194">
        <v>51</v>
      </c>
      <c r="T194" t="s">
        <v>69</v>
      </c>
      <c r="U194">
        <v>4</v>
      </c>
      <c r="V194">
        <v>13</v>
      </c>
      <c r="W194" t="s">
        <v>68</v>
      </c>
      <c r="X194" t="s">
        <v>69</v>
      </c>
      <c r="Y194" t="s">
        <v>71</v>
      </c>
      <c r="Z194" t="s">
        <v>96</v>
      </c>
    </row>
    <row r="195" spans="1:26" x14ac:dyDescent="0.2">
      <c r="A195" t="s">
        <v>616</v>
      </c>
      <c r="B195" t="s">
        <v>617</v>
      </c>
      <c r="C195" t="s">
        <v>108</v>
      </c>
      <c r="D195" t="s">
        <v>109</v>
      </c>
      <c r="E195" t="s">
        <v>264</v>
      </c>
      <c r="F195" t="s">
        <v>64</v>
      </c>
      <c r="G195" t="s">
        <v>65</v>
      </c>
      <c r="H195" t="s">
        <v>66</v>
      </c>
      <c r="I195" t="s">
        <v>67</v>
      </c>
      <c r="J195" s="3">
        <v>42672</v>
      </c>
      <c r="K195">
        <v>9.1999999999999993</v>
      </c>
      <c r="L195">
        <v>35</v>
      </c>
      <c r="M195" s="4">
        <v>6900</v>
      </c>
      <c r="N195" s="4">
        <v>100618</v>
      </c>
      <c r="O195" t="s">
        <v>68</v>
      </c>
      <c r="P195" t="s">
        <v>69</v>
      </c>
      <c r="Q195">
        <v>3.08</v>
      </c>
      <c r="R195">
        <v>64</v>
      </c>
      <c r="S195">
        <v>10</v>
      </c>
      <c r="T195" t="s">
        <v>69</v>
      </c>
      <c r="U195">
        <v>8</v>
      </c>
      <c r="V195">
        <v>53</v>
      </c>
      <c r="W195" t="s">
        <v>70</v>
      </c>
      <c r="X195" t="s">
        <v>68</v>
      </c>
      <c r="Y195" t="s">
        <v>86</v>
      </c>
      <c r="Z195" t="s">
        <v>108</v>
      </c>
    </row>
    <row r="196" spans="1:26" x14ac:dyDescent="0.2">
      <c r="A196" t="s">
        <v>618</v>
      </c>
      <c r="B196" t="s">
        <v>619</v>
      </c>
      <c r="C196" t="s">
        <v>102</v>
      </c>
      <c r="D196" t="s">
        <v>103</v>
      </c>
      <c r="E196" t="s">
        <v>458</v>
      </c>
      <c r="F196" t="s">
        <v>77</v>
      </c>
      <c r="G196" t="s">
        <v>65</v>
      </c>
      <c r="H196" t="s">
        <v>66</v>
      </c>
      <c r="I196" t="s">
        <v>99</v>
      </c>
      <c r="J196" s="3">
        <v>43131</v>
      </c>
      <c r="K196">
        <v>7.9</v>
      </c>
      <c r="L196">
        <v>27</v>
      </c>
      <c r="M196" s="4">
        <v>10500</v>
      </c>
      <c r="N196" s="4">
        <v>160149</v>
      </c>
      <c r="O196" t="s">
        <v>68</v>
      </c>
      <c r="P196" t="s">
        <v>69</v>
      </c>
      <c r="Q196">
        <v>2.59</v>
      </c>
      <c r="R196">
        <v>61</v>
      </c>
      <c r="S196">
        <v>27</v>
      </c>
      <c r="T196" t="s">
        <v>69</v>
      </c>
      <c r="U196">
        <v>8</v>
      </c>
      <c r="V196">
        <v>30</v>
      </c>
      <c r="W196" t="s">
        <v>70</v>
      </c>
      <c r="X196" t="s">
        <v>68</v>
      </c>
      <c r="Y196" t="s">
        <v>71</v>
      </c>
      <c r="Z196" t="s">
        <v>102</v>
      </c>
    </row>
    <row r="197" spans="1:26" x14ac:dyDescent="0.2">
      <c r="A197" t="s">
        <v>620</v>
      </c>
      <c r="B197" t="s">
        <v>621</v>
      </c>
      <c r="C197" t="s">
        <v>108</v>
      </c>
      <c r="D197" t="s">
        <v>109</v>
      </c>
      <c r="E197" t="s">
        <v>310</v>
      </c>
      <c r="F197" t="s">
        <v>84</v>
      </c>
      <c r="G197" t="s">
        <v>65</v>
      </c>
      <c r="H197" t="s">
        <v>66</v>
      </c>
      <c r="I197" t="s">
        <v>111</v>
      </c>
      <c r="J197" s="3">
        <v>45509</v>
      </c>
      <c r="K197">
        <v>1.4</v>
      </c>
      <c r="L197">
        <v>55</v>
      </c>
      <c r="M197" s="4">
        <v>21700</v>
      </c>
      <c r="N197" s="4">
        <v>308721</v>
      </c>
      <c r="O197" t="s">
        <v>69</v>
      </c>
      <c r="P197" t="s">
        <v>69</v>
      </c>
      <c r="Q197">
        <v>3.37</v>
      </c>
      <c r="R197">
        <v>67</v>
      </c>
      <c r="S197">
        <v>20</v>
      </c>
      <c r="T197" t="s">
        <v>69</v>
      </c>
      <c r="U197">
        <v>4</v>
      </c>
      <c r="V197">
        <v>49</v>
      </c>
      <c r="W197" t="s">
        <v>68</v>
      </c>
      <c r="X197" t="s">
        <v>68</v>
      </c>
      <c r="Y197" t="s">
        <v>71</v>
      </c>
      <c r="Z197" t="s">
        <v>108</v>
      </c>
    </row>
    <row r="198" spans="1:26" x14ac:dyDescent="0.2">
      <c r="A198" t="s">
        <v>622</v>
      </c>
      <c r="B198" t="s">
        <v>623</v>
      </c>
      <c r="C198" t="s">
        <v>74</v>
      </c>
      <c r="D198" t="s">
        <v>139</v>
      </c>
      <c r="E198" t="s">
        <v>140</v>
      </c>
      <c r="F198" t="s">
        <v>64</v>
      </c>
      <c r="G198" t="s">
        <v>85</v>
      </c>
      <c r="H198" t="s">
        <v>66</v>
      </c>
      <c r="I198" t="s">
        <v>99</v>
      </c>
      <c r="J198" s="3">
        <v>41527</v>
      </c>
      <c r="K198">
        <v>12.3</v>
      </c>
      <c r="L198">
        <v>48</v>
      </c>
      <c r="M198" s="4">
        <v>5800</v>
      </c>
      <c r="N198" s="4">
        <v>82151</v>
      </c>
      <c r="O198" t="s">
        <v>68</v>
      </c>
      <c r="P198" t="s">
        <v>68</v>
      </c>
      <c r="Q198">
        <v>2.52</v>
      </c>
      <c r="R198">
        <v>59</v>
      </c>
      <c r="S198">
        <v>17</v>
      </c>
      <c r="T198" t="s">
        <v>69</v>
      </c>
      <c r="U198">
        <v>4</v>
      </c>
      <c r="V198">
        <v>39</v>
      </c>
      <c r="W198" t="s">
        <v>70</v>
      </c>
      <c r="X198" t="s">
        <v>68</v>
      </c>
      <c r="Y198" t="s">
        <v>86</v>
      </c>
      <c r="Z198" t="s">
        <v>74</v>
      </c>
    </row>
    <row r="199" spans="1:26" x14ac:dyDescent="0.2">
      <c r="A199" t="s">
        <v>624</v>
      </c>
      <c r="B199" t="s">
        <v>625</v>
      </c>
      <c r="C199" t="s">
        <v>102</v>
      </c>
      <c r="D199" t="s">
        <v>103</v>
      </c>
      <c r="E199" t="s">
        <v>458</v>
      </c>
      <c r="F199" t="s">
        <v>77</v>
      </c>
      <c r="G199" t="s">
        <v>215</v>
      </c>
      <c r="H199" t="s">
        <v>66</v>
      </c>
      <c r="I199" t="s">
        <v>111</v>
      </c>
      <c r="J199" s="3">
        <v>41534</v>
      </c>
      <c r="K199">
        <v>12.3</v>
      </c>
      <c r="L199">
        <v>45</v>
      </c>
      <c r="M199" s="4">
        <v>12200</v>
      </c>
      <c r="N199" s="4">
        <v>175360</v>
      </c>
      <c r="O199" t="s">
        <v>68</v>
      </c>
      <c r="P199" t="s">
        <v>69</v>
      </c>
      <c r="Q199">
        <v>2.34</v>
      </c>
      <c r="R199">
        <v>57</v>
      </c>
      <c r="S199">
        <v>5</v>
      </c>
      <c r="T199" t="s">
        <v>68</v>
      </c>
      <c r="U199">
        <v>1</v>
      </c>
      <c r="V199">
        <v>33</v>
      </c>
      <c r="W199" t="s">
        <v>70</v>
      </c>
      <c r="X199" t="s">
        <v>68</v>
      </c>
      <c r="Y199" t="s">
        <v>86</v>
      </c>
      <c r="Z199" t="s">
        <v>102</v>
      </c>
    </row>
    <row r="200" spans="1:26" x14ac:dyDescent="0.2">
      <c r="A200" t="s">
        <v>626</v>
      </c>
      <c r="B200" t="s">
        <v>360</v>
      </c>
      <c r="C200" t="s">
        <v>96</v>
      </c>
      <c r="D200" t="s">
        <v>129</v>
      </c>
      <c r="E200" t="s">
        <v>501</v>
      </c>
      <c r="F200" t="s">
        <v>64</v>
      </c>
      <c r="G200" t="s">
        <v>215</v>
      </c>
      <c r="H200" t="s">
        <v>78</v>
      </c>
      <c r="I200" t="s">
        <v>67</v>
      </c>
      <c r="J200" s="3">
        <v>44236</v>
      </c>
      <c r="K200">
        <v>4.9000000000000004</v>
      </c>
      <c r="L200">
        <v>56</v>
      </c>
      <c r="M200" s="4">
        <v>7400</v>
      </c>
      <c r="N200" s="4">
        <v>110894</v>
      </c>
      <c r="O200" t="s">
        <v>68</v>
      </c>
      <c r="P200" t="s">
        <v>69</v>
      </c>
      <c r="Q200">
        <v>3.46</v>
      </c>
      <c r="R200">
        <v>66</v>
      </c>
      <c r="S200">
        <v>22</v>
      </c>
      <c r="T200" t="s">
        <v>69</v>
      </c>
      <c r="U200">
        <v>10</v>
      </c>
      <c r="V200">
        <v>17</v>
      </c>
      <c r="W200" t="s">
        <v>70</v>
      </c>
      <c r="X200" t="s">
        <v>68</v>
      </c>
      <c r="Y200" t="s">
        <v>71</v>
      </c>
      <c r="Z200" t="s">
        <v>96</v>
      </c>
    </row>
    <row r="201" spans="1:26" x14ac:dyDescent="0.2">
      <c r="A201" t="s">
        <v>627</v>
      </c>
      <c r="B201" t="s">
        <v>193</v>
      </c>
      <c r="C201" t="s">
        <v>108</v>
      </c>
      <c r="D201" t="s">
        <v>222</v>
      </c>
      <c r="E201" t="s">
        <v>378</v>
      </c>
      <c r="F201" t="s">
        <v>77</v>
      </c>
      <c r="G201" t="s">
        <v>65</v>
      </c>
      <c r="H201" t="s">
        <v>66</v>
      </c>
      <c r="I201" t="s">
        <v>67</v>
      </c>
      <c r="J201" s="3">
        <v>41679</v>
      </c>
      <c r="K201">
        <v>11.9</v>
      </c>
      <c r="L201">
        <v>48</v>
      </c>
      <c r="M201" s="4">
        <v>11000</v>
      </c>
      <c r="N201" s="4">
        <v>175631</v>
      </c>
      <c r="O201" t="s">
        <v>68</v>
      </c>
      <c r="P201" t="s">
        <v>69</v>
      </c>
      <c r="Q201">
        <v>3.33</v>
      </c>
      <c r="R201">
        <v>72</v>
      </c>
      <c r="S201">
        <v>29</v>
      </c>
      <c r="T201" t="s">
        <v>69</v>
      </c>
      <c r="U201">
        <v>1</v>
      </c>
      <c r="V201">
        <v>11</v>
      </c>
      <c r="W201" t="s">
        <v>70</v>
      </c>
      <c r="X201" t="s">
        <v>68</v>
      </c>
      <c r="Y201" t="s">
        <v>71</v>
      </c>
      <c r="Z201" t="s">
        <v>108</v>
      </c>
    </row>
    <row r="202" spans="1:26" x14ac:dyDescent="0.2">
      <c r="A202" t="s">
        <v>628</v>
      </c>
      <c r="B202" t="s">
        <v>629</v>
      </c>
      <c r="C202" t="s">
        <v>124</v>
      </c>
      <c r="D202" t="s">
        <v>465</v>
      </c>
      <c r="E202" t="s">
        <v>630</v>
      </c>
      <c r="F202" t="s">
        <v>64</v>
      </c>
      <c r="G202" t="s">
        <v>65</v>
      </c>
      <c r="H202" t="s">
        <v>78</v>
      </c>
      <c r="I202" t="s">
        <v>67</v>
      </c>
      <c r="J202" s="3">
        <v>41883</v>
      </c>
      <c r="K202">
        <v>11.3</v>
      </c>
      <c r="L202">
        <v>27</v>
      </c>
      <c r="M202" s="4">
        <v>6100</v>
      </c>
      <c r="N202" s="4">
        <v>95333</v>
      </c>
      <c r="O202" t="s">
        <v>68</v>
      </c>
      <c r="P202" t="s">
        <v>68</v>
      </c>
      <c r="Q202">
        <v>3.86</v>
      </c>
      <c r="R202">
        <v>82</v>
      </c>
      <c r="S202">
        <v>34</v>
      </c>
      <c r="T202" t="s">
        <v>69</v>
      </c>
      <c r="U202">
        <v>4</v>
      </c>
      <c r="V202">
        <v>0</v>
      </c>
      <c r="W202" t="s">
        <v>70</v>
      </c>
      <c r="X202" t="s">
        <v>69</v>
      </c>
      <c r="Y202" t="s">
        <v>71</v>
      </c>
      <c r="Z202" t="s">
        <v>124</v>
      </c>
    </row>
    <row r="203" spans="1:26" x14ac:dyDescent="0.2">
      <c r="A203" t="s">
        <v>631</v>
      </c>
      <c r="B203" t="s">
        <v>424</v>
      </c>
      <c r="C203" t="s">
        <v>96</v>
      </c>
      <c r="D203" t="s">
        <v>162</v>
      </c>
      <c r="E203" t="s">
        <v>632</v>
      </c>
      <c r="F203" t="s">
        <v>120</v>
      </c>
      <c r="G203" t="s">
        <v>65</v>
      </c>
      <c r="H203" t="s">
        <v>66</v>
      </c>
      <c r="I203" t="s">
        <v>93</v>
      </c>
      <c r="J203" s="3">
        <v>45071</v>
      </c>
      <c r="K203">
        <v>2.6</v>
      </c>
      <c r="L203">
        <v>44</v>
      </c>
      <c r="M203" s="4">
        <v>9100</v>
      </c>
      <c r="N203" s="4">
        <v>136936</v>
      </c>
      <c r="O203" t="s">
        <v>68</v>
      </c>
      <c r="P203" t="s">
        <v>69</v>
      </c>
      <c r="Q203">
        <v>3.34</v>
      </c>
      <c r="R203">
        <v>68</v>
      </c>
      <c r="S203">
        <v>52</v>
      </c>
      <c r="T203" t="s">
        <v>68</v>
      </c>
      <c r="U203">
        <v>0</v>
      </c>
      <c r="V203">
        <v>3</v>
      </c>
      <c r="W203" t="s">
        <v>70</v>
      </c>
      <c r="X203" t="s">
        <v>68</v>
      </c>
      <c r="Y203" t="s">
        <v>71</v>
      </c>
      <c r="Z203" t="s">
        <v>96</v>
      </c>
    </row>
    <row r="204" spans="1:26" x14ac:dyDescent="0.2">
      <c r="A204" t="s">
        <v>633</v>
      </c>
      <c r="B204" t="s">
        <v>88</v>
      </c>
      <c r="C204" t="s">
        <v>108</v>
      </c>
      <c r="D204" t="s">
        <v>194</v>
      </c>
      <c r="E204" t="s">
        <v>195</v>
      </c>
      <c r="F204" t="s">
        <v>64</v>
      </c>
      <c r="G204" t="s">
        <v>65</v>
      </c>
      <c r="H204" t="s">
        <v>66</v>
      </c>
      <c r="I204" t="s">
        <v>67</v>
      </c>
      <c r="J204" s="3">
        <v>45360</v>
      </c>
      <c r="K204">
        <v>1.8</v>
      </c>
      <c r="L204">
        <v>44</v>
      </c>
      <c r="M204" s="4">
        <v>6700</v>
      </c>
      <c r="N204" s="4">
        <v>97157</v>
      </c>
      <c r="O204" t="s">
        <v>68</v>
      </c>
      <c r="P204" t="s">
        <v>69</v>
      </c>
      <c r="Q204">
        <v>3.64</v>
      </c>
      <c r="R204">
        <v>61</v>
      </c>
      <c r="S204">
        <v>23</v>
      </c>
      <c r="T204" t="s">
        <v>69</v>
      </c>
      <c r="U204">
        <v>0</v>
      </c>
      <c r="V204">
        <v>39</v>
      </c>
      <c r="W204" t="s">
        <v>70</v>
      </c>
      <c r="X204" t="s">
        <v>69</v>
      </c>
      <c r="Y204" t="s">
        <v>86</v>
      </c>
      <c r="Z204" t="s">
        <v>108</v>
      </c>
    </row>
    <row r="205" spans="1:26" x14ac:dyDescent="0.2">
      <c r="A205" t="s">
        <v>634</v>
      </c>
      <c r="B205" t="s">
        <v>199</v>
      </c>
      <c r="C205" t="s">
        <v>102</v>
      </c>
      <c r="D205" t="s">
        <v>183</v>
      </c>
      <c r="E205" t="s">
        <v>635</v>
      </c>
      <c r="F205" t="s">
        <v>84</v>
      </c>
      <c r="G205" t="s">
        <v>65</v>
      </c>
      <c r="H205" t="s">
        <v>78</v>
      </c>
      <c r="I205" t="s">
        <v>236</v>
      </c>
      <c r="J205" s="3">
        <v>42957</v>
      </c>
      <c r="K205">
        <v>8.4</v>
      </c>
      <c r="L205">
        <v>44</v>
      </c>
      <c r="M205" s="4">
        <v>18900</v>
      </c>
      <c r="N205" s="4">
        <v>298935</v>
      </c>
      <c r="O205" t="s">
        <v>69</v>
      </c>
      <c r="P205" t="s">
        <v>69</v>
      </c>
      <c r="Q205">
        <v>2.84</v>
      </c>
      <c r="R205">
        <v>74</v>
      </c>
      <c r="S205">
        <v>48</v>
      </c>
      <c r="T205" t="s">
        <v>69</v>
      </c>
      <c r="U205">
        <v>5</v>
      </c>
      <c r="V205">
        <v>29</v>
      </c>
      <c r="W205" t="s">
        <v>69</v>
      </c>
      <c r="X205" t="s">
        <v>68</v>
      </c>
      <c r="Y205" t="s">
        <v>71</v>
      </c>
      <c r="Z205" t="s">
        <v>102</v>
      </c>
    </row>
    <row r="206" spans="1:26" x14ac:dyDescent="0.2">
      <c r="A206" t="s">
        <v>636</v>
      </c>
      <c r="B206" t="s">
        <v>212</v>
      </c>
      <c r="C206" t="s">
        <v>96</v>
      </c>
      <c r="D206" t="s">
        <v>129</v>
      </c>
      <c r="E206" t="s">
        <v>562</v>
      </c>
      <c r="F206" t="s">
        <v>77</v>
      </c>
      <c r="G206" t="s">
        <v>65</v>
      </c>
      <c r="H206" t="s">
        <v>66</v>
      </c>
      <c r="I206" t="s">
        <v>99</v>
      </c>
      <c r="J206" s="3">
        <v>41544</v>
      </c>
      <c r="K206">
        <v>12.3</v>
      </c>
      <c r="L206">
        <v>44</v>
      </c>
      <c r="M206" s="4">
        <v>9200</v>
      </c>
      <c r="N206" s="4">
        <v>140587</v>
      </c>
      <c r="O206" t="s">
        <v>68</v>
      </c>
      <c r="P206" t="s">
        <v>69</v>
      </c>
      <c r="Q206">
        <v>3.02</v>
      </c>
      <c r="R206">
        <v>64</v>
      </c>
      <c r="S206">
        <v>7</v>
      </c>
      <c r="T206" t="s">
        <v>69</v>
      </c>
      <c r="U206">
        <v>3</v>
      </c>
      <c r="V206">
        <v>25</v>
      </c>
      <c r="W206" t="s">
        <v>70</v>
      </c>
      <c r="X206" t="s">
        <v>68</v>
      </c>
      <c r="Y206" t="s">
        <v>71</v>
      </c>
      <c r="Z206" t="s">
        <v>96</v>
      </c>
    </row>
    <row r="207" spans="1:26" x14ac:dyDescent="0.2">
      <c r="A207" t="s">
        <v>637</v>
      </c>
      <c r="B207" t="s">
        <v>638</v>
      </c>
      <c r="C207" t="s">
        <v>61</v>
      </c>
      <c r="D207" t="s">
        <v>177</v>
      </c>
      <c r="E207" t="s">
        <v>639</v>
      </c>
      <c r="F207" t="s">
        <v>120</v>
      </c>
      <c r="G207" t="s">
        <v>65</v>
      </c>
      <c r="H207" t="s">
        <v>66</v>
      </c>
      <c r="I207" t="s">
        <v>79</v>
      </c>
      <c r="J207" s="3">
        <v>42191</v>
      </c>
      <c r="K207">
        <v>10.5</v>
      </c>
      <c r="L207">
        <v>46</v>
      </c>
      <c r="M207" s="4">
        <v>9300</v>
      </c>
      <c r="N207" s="4">
        <v>141718</v>
      </c>
      <c r="O207" t="s">
        <v>68</v>
      </c>
      <c r="P207" t="s">
        <v>68</v>
      </c>
      <c r="Q207">
        <v>2.92</v>
      </c>
      <c r="R207">
        <v>58</v>
      </c>
      <c r="S207">
        <v>25</v>
      </c>
      <c r="T207" t="s">
        <v>69</v>
      </c>
      <c r="U207">
        <v>1</v>
      </c>
      <c r="V207">
        <v>25</v>
      </c>
      <c r="W207" t="s">
        <v>70</v>
      </c>
      <c r="X207" t="s">
        <v>68</v>
      </c>
      <c r="Y207" t="s">
        <v>71</v>
      </c>
      <c r="Z207" t="s">
        <v>61</v>
      </c>
    </row>
    <row r="208" spans="1:26" x14ac:dyDescent="0.2">
      <c r="A208" t="s">
        <v>640</v>
      </c>
      <c r="B208" t="s">
        <v>365</v>
      </c>
      <c r="C208" t="s">
        <v>89</v>
      </c>
      <c r="D208" t="s">
        <v>230</v>
      </c>
      <c r="E208" t="s">
        <v>549</v>
      </c>
      <c r="F208" t="s">
        <v>120</v>
      </c>
      <c r="G208" t="s">
        <v>65</v>
      </c>
      <c r="H208" t="s">
        <v>78</v>
      </c>
      <c r="I208" t="s">
        <v>121</v>
      </c>
      <c r="J208" s="3">
        <v>42451</v>
      </c>
      <c r="K208">
        <v>9.8000000000000007</v>
      </c>
      <c r="L208">
        <v>44</v>
      </c>
      <c r="M208" s="4">
        <v>9000</v>
      </c>
      <c r="N208" s="4">
        <v>146216</v>
      </c>
      <c r="O208" t="s">
        <v>68</v>
      </c>
      <c r="P208" t="s">
        <v>69</v>
      </c>
      <c r="Q208">
        <v>3.15</v>
      </c>
      <c r="R208">
        <v>66</v>
      </c>
      <c r="S208">
        <v>53</v>
      </c>
      <c r="T208" t="s">
        <v>69</v>
      </c>
      <c r="U208">
        <v>15</v>
      </c>
      <c r="V208">
        <v>45</v>
      </c>
      <c r="W208" t="s">
        <v>70</v>
      </c>
      <c r="X208" t="s">
        <v>68</v>
      </c>
      <c r="Y208" t="s">
        <v>71</v>
      </c>
      <c r="Z208" t="s">
        <v>89</v>
      </c>
    </row>
    <row r="209" spans="1:26" x14ac:dyDescent="0.2">
      <c r="A209" t="s">
        <v>641</v>
      </c>
      <c r="B209" t="s">
        <v>642</v>
      </c>
      <c r="C209" t="s">
        <v>61</v>
      </c>
      <c r="D209" t="s">
        <v>62</v>
      </c>
      <c r="E209" t="s">
        <v>643</v>
      </c>
      <c r="F209" t="s">
        <v>84</v>
      </c>
      <c r="G209" t="s">
        <v>65</v>
      </c>
      <c r="H209" t="s">
        <v>78</v>
      </c>
      <c r="I209" t="s">
        <v>93</v>
      </c>
      <c r="J209" s="3">
        <v>41536</v>
      </c>
      <c r="K209">
        <v>12.3</v>
      </c>
      <c r="L209">
        <v>25</v>
      </c>
      <c r="M209" s="4">
        <v>18700</v>
      </c>
      <c r="N209" s="4">
        <v>307292</v>
      </c>
      <c r="O209" t="s">
        <v>69</v>
      </c>
      <c r="P209" t="s">
        <v>69</v>
      </c>
      <c r="Q209">
        <v>2.33</v>
      </c>
      <c r="R209">
        <v>52</v>
      </c>
      <c r="S209">
        <v>49</v>
      </c>
      <c r="T209" t="s">
        <v>69</v>
      </c>
      <c r="U209">
        <v>7</v>
      </c>
      <c r="V209">
        <v>7</v>
      </c>
      <c r="W209" t="s">
        <v>69</v>
      </c>
      <c r="X209" t="s">
        <v>68</v>
      </c>
      <c r="Y209" t="s">
        <v>71</v>
      </c>
      <c r="Z209" t="s">
        <v>61</v>
      </c>
    </row>
    <row r="210" spans="1:26" x14ac:dyDescent="0.2">
      <c r="A210" t="s">
        <v>644</v>
      </c>
      <c r="B210" t="s">
        <v>350</v>
      </c>
      <c r="C210" t="s">
        <v>102</v>
      </c>
      <c r="D210" t="s">
        <v>103</v>
      </c>
      <c r="E210" t="s">
        <v>458</v>
      </c>
      <c r="F210" t="s">
        <v>77</v>
      </c>
      <c r="G210" t="s">
        <v>65</v>
      </c>
      <c r="H210" t="s">
        <v>78</v>
      </c>
      <c r="I210" t="s">
        <v>67</v>
      </c>
      <c r="J210" s="3">
        <v>44943</v>
      </c>
      <c r="K210">
        <v>3</v>
      </c>
      <c r="L210">
        <v>59</v>
      </c>
      <c r="M210" s="4">
        <v>13100</v>
      </c>
      <c r="N210" s="4">
        <v>205912</v>
      </c>
      <c r="O210" t="s">
        <v>68</v>
      </c>
      <c r="P210" t="s">
        <v>69</v>
      </c>
      <c r="Q210">
        <v>2.81</v>
      </c>
      <c r="R210">
        <v>73</v>
      </c>
      <c r="S210">
        <v>24</v>
      </c>
      <c r="T210" t="s">
        <v>69</v>
      </c>
      <c r="U210">
        <v>8</v>
      </c>
      <c r="V210">
        <v>22</v>
      </c>
      <c r="W210" t="s">
        <v>70</v>
      </c>
      <c r="X210" t="s">
        <v>68</v>
      </c>
      <c r="Y210" t="s">
        <v>71</v>
      </c>
      <c r="Z210" t="s">
        <v>102</v>
      </c>
    </row>
    <row r="211" spans="1:26" x14ac:dyDescent="0.2">
      <c r="A211" t="s">
        <v>645</v>
      </c>
      <c r="B211" t="s">
        <v>646</v>
      </c>
      <c r="C211" t="s">
        <v>89</v>
      </c>
      <c r="D211" t="s">
        <v>154</v>
      </c>
      <c r="E211" t="s">
        <v>647</v>
      </c>
      <c r="F211" t="s">
        <v>174</v>
      </c>
      <c r="G211" t="s">
        <v>85</v>
      </c>
      <c r="H211" t="s">
        <v>78</v>
      </c>
      <c r="I211" t="s">
        <v>148</v>
      </c>
      <c r="J211" s="3">
        <v>42873</v>
      </c>
      <c r="K211">
        <v>8.6</v>
      </c>
      <c r="L211">
        <v>35</v>
      </c>
      <c r="M211" s="4">
        <v>22800</v>
      </c>
      <c r="N211" s="4">
        <v>375678</v>
      </c>
      <c r="O211" t="s">
        <v>69</v>
      </c>
      <c r="P211" t="s">
        <v>69</v>
      </c>
      <c r="Q211">
        <v>2.78</v>
      </c>
      <c r="R211">
        <v>63</v>
      </c>
      <c r="S211">
        <v>42</v>
      </c>
      <c r="T211" t="s">
        <v>69</v>
      </c>
      <c r="U211">
        <v>8</v>
      </c>
      <c r="V211">
        <v>5</v>
      </c>
      <c r="W211" t="s">
        <v>69</v>
      </c>
      <c r="X211" t="s">
        <v>68</v>
      </c>
      <c r="Y211" t="s">
        <v>71</v>
      </c>
      <c r="Z211" t="s">
        <v>89</v>
      </c>
    </row>
    <row r="212" spans="1:26" x14ac:dyDescent="0.2">
      <c r="A212" t="s">
        <v>648</v>
      </c>
      <c r="B212" t="s">
        <v>649</v>
      </c>
      <c r="C212" t="s">
        <v>89</v>
      </c>
      <c r="D212" t="s">
        <v>154</v>
      </c>
      <c r="E212" t="s">
        <v>650</v>
      </c>
      <c r="F212" t="s">
        <v>77</v>
      </c>
      <c r="G212" t="s">
        <v>85</v>
      </c>
      <c r="H212" t="s">
        <v>78</v>
      </c>
      <c r="I212" t="s">
        <v>148</v>
      </c>
      <c r="J212" s="3">
        <v>44851</v>
      </c>
      <c r="K212">
        <v>3.2</v>
      </c>
      <c r="L212">
        <v>30</v>
      </c>
      <c r="M212" s="4">
        <v>12700</v>
      </c>
      <c r="N212" s="4">
        <v>197806</v>
      </c>
      <c r="O212" t="s">
        <v>68</v>
      </c>
      <c r="P212" t="s">
        <v>69</v>
      </c>
      <c r="Q212">
        <v>2.62</v>
      </c>
      <c r="R212">
        <v>36</v>
      </c>
      <c r="S212">
        <v>42</v>
      </c>
      <c r="T212" t="s">
        <v>69</v>
      </c>
      <c r="U212">
        <v>8</v>
      </c>
      <c r="V212">
        <v>10</v>
      </c>
      <c r="W212" t="s">
        <v>70</v>
      </c>
      <c r="X212" t="s">
        <v>68</v>
      </c>
      <c r="Y212" t="s">
        <v>86</v>
      </c>
      <c r="Z212" t="s">
        <v>89</v>
      </c>
    </row>
    <row r="213" spans="1:26" x14ac:dyDescent="0.2">
      <c r="A213" t="s">
        <v>651</v>
      </c>
      <c r="B213" t="s">
        <v>652</v>
      </c>
      <c r="C213" t="s">
        <v>108</v>
      </c>
      <c r="D213" t="s">
        <v>222</v>
      </c>
      <c r="E213" t="s">
        <v>223</v>
      </c>
      <c r="F213" t="s">
        <v>92</v>
      </c>
      <c r="G213" t="s">
        <v>65</v>
      </c>
      <c r="H213" t="s">
        <v>78</v>
      </c>
      <c r="I213" t="s">
        <v>115</v>
      </c>
      <c r="J213" s="3">
        <v>44364</v>
      </c>
      <c r="K213">
        <v>4.5</v>
      </c>
      <c r="L213">
        <v>35</v>
      </c>
      <c r="M213" s="4">
        <v>5000</v>
      </c>
      <c r="N213" s="4">
        <v>75709</v>
      </c>
      <c r="O213" t="s">
        <v>68</v>
      </c>
      <c r="P213" t="s">
        <v>69</v>
      </c>
      <c r="Q213">
        <v>3.05</v>
      </c>
      <c r="R213">
        <v>66</v>
      </c>
      <c r="S213">
        <v>23</v>
      </c>
      <c r="T213" t="s">
        <v>69</v>
      </c>
      <c r="U213">
        <v>5</v>
      </c>
      <c r="V213">
        <v>40</v>
      </c>
      <c r="W213" t="s">
        <v>70</v>
      </c>
      <c r="X213" t="s">
        <v>68</v>
      </c>
      <c r="Y213" t="s">
        <v>86</v>
      </c>
      <c r="Z213" t="s">
        <v>108</v>
      </c>
    </row>
    <row r="214" spans="1:26" x14ac:dyDescent="0.2">
      <c r="A214" t="s">
        <v>653</v>
      </c>
      <c r="B214" t="s">
        <v>654</v>
      </c>
      <c r="C214" t="s">
        <v>89</v>
      </c>
      <c r="D214" t="s">
        <v>230</v>
      </c>
      <c r="E214" t="s">
        <v>322</v>
      </c>
      <c r="F214" t="s">
        <v>84</v>
      </c>
      <c r="G214" t="s">
        <v>85</v>
      </c>
      <c r="H214" t="s">
        <v>66</v>
      </c>
      <c r="I214" t="s">
        <v>79</v>
      </c>
      <c r="J214" s="3">
        <v>44290</v>
      </c>
      <c r="K214">
        <v>4.7</v>
      </c>
      <c r="L214">
        <v>31</v>
      </c>
      <c r="M214" s="4">
        <v>21100</v>
      </c>
      <c r="N214" s="4">
        <v>329177</v>
      </c>
      <c r="O214" t="s">
        <v>69</v>
      </c>
      <c r="P214" t="s">
        <v>69</v>
      </c>
      <c r="Q214">
        <v>3.38</v>
      </c>
      <c r="R214">
        <v>62</v>
      </c>
      <c r="S214">
        <v>20</v>
      </c>
      <c r="T214" t="s">
        <v>69</v>
      </c>
      <c r="U214">
        <v>6</v>
      </c>
      <c r="V214">
        <v>60</v>
      </c>
      <c r="W214" t="s">
        <v>68</v>
      </c>
      <c r="X214" t="s">
        <v>68</v>
      </c>
      <c r="Y214" t="s">
        <v>86</v>
      </c>
      <c r="Z214" t="s">
        <v>89</v>
      </c>
    </row>
    <row r="215" spans="1:26" x14ac:dyDescent="0.2">
      <c r="A215" t="s">
        <v>655</v>
      </c>
      <c r="B215" t="s">
        <v>656</v>
      </c>
      <c r="C215" t="s">
        <v>74</v>
      </c>
      <c r="D215" t="s">
        <v>75</v>
      </c>
      <c r="E215" t="s">
        <v>307</v>
      </c>
      <c r="F215" t="s">
        <v>120</v>
      </c>
      <c r="G215" t="s">
        <v>65</v>
      </c>
      <c r="H215" t="s">
        <v>78</v>
      </c>
      <c r="I215" t="s">
        <v>93</v>
      </c>
      <c r="J215" s="3">
        <v>41085</v>
      </c>
      <c r="K215">
        <v>13.5</v>
      </c>
      <c r="L215">
        <v>60</v>
      </c>
      <c r="M215" s="4">
        <v>9500</v>
      </c>
      <c r="N215" s="4">
        <v>137115</v>
      </c>
      <c r="O215" t="s">
        <v>68</v>
      </c>
      <c r="P215" t="s">
        <v>69</v>
      </c>
      <c r="Q215">
        <v>3.55</v>
      </c>
      <c r="R215">
        <v>56</v>
      </c>
      <c r="S215">
        <v>43</v>
      </c>
      <c r="T215" t="s">
        <v>69</v>
      </c>
      <c r="U215">
        <v>11</v>
      </c>
      <c r="V215">
        <v>18</v>
      </c>
      <c r="W215" t="s">
        <v>70</v>
      </c>
      <c r="X215" t="s">
        <v>69</v>
      </c>
      <c r="Y215" t="s">
        <v>71</v>
      </c>
      <c r="Z215" t="s">
        <v>74</v>
      </c>
    </row>
    <row r="216" spans="1:26" x14ac:dyDescent="0.2">
      <c r="A216" t="s">
        <v>657</v>
      </c>
      <c r="B216" t="s">
        <v>117</v>
      </c>
      <c r="C216" t="s">
        <v>74</v>
      </c>
      <c r="D216" t="s">
        <v>118</v>
      </c>
      <c r="E216" t="s">
        <v>530</v>
      </c>
      <c r="F216" t="s">
        <v>136</v>
      </c>
      <c r="G216" t="s">
        <v>65</v>
      </c>
      <c r="H216" t="s">
        <v>78</v>
      </c>
      <c r="I216" t="s">
        <v>236</v>
      </c>
      <c r="J216" s="3">
        <v>45234</v>
      </c>
      <c r="K216">
        <v>2.2000000000000002</v>
      </c>
      <c r="L216">
        <v>25</v>
      </c>
      <c r="M216" s="4">
        <v>15900</v>
      </c>
      <c r="N216" s="4">
        <v>248414</v>
      </c>
      <c r="O216" t="s">
        <v>68</v>
      </c>
      <c r="P216" t="s">
        <v>69</v>
      </c>
      <c r="Q216">
        <v>3.07</v>
      </c>
      <c r="R216">
        <v>49</v>
      </c>
      <c r="S216">
        <v>8</v>
      </c>
      <c r="T216" t="s">
        <v>69</v>
      </c>
      <c r="U216">
        <v>8</v>
      </c>
      <c r="V216">
        <v>9</v>
      </c>
      <c r="W216" t="s">
        <v>70</v>
      </c>
      <c r="X216" t="s">
        <v>68</v>
      </c>
      <c r="Y216" t="s">
        <v>86</v>
      </c>
      <c r="Z216" t="s">
        <v>74</v>
      </c>
    </row>
    <row r="217" spans="1:26" x14ac:dyDescent="0.2">
      <c r="A217" t="s">
        <v>658</v>
      </c>
      <c r="B217" t="s">
        <v>380</v>
      </c>
      <c r="C217" t="s">
        <v>96</v>
      </c>
      <c r="D217" t="s">
        <v>234</v>
      </c>
      <c r="E217" t="s">
        <v>247</v>
      </c>
      <c r="F217" t="s">
        <v>92</v>
      </c>
      <c r="G217" t="s">
        <v>65</v>
      </c>
      <c r="H217" t="s">
        <v>78</v>
      </c>
      <c r="I217" t="s">
        <v>79</v>
      </c>
      <c r="J217" s="3">
        <v>43275</v>
      </c>
      <c r="K217">
        <v>7.5</v>
      </c>
      <c r="L217">
        <v>52</v>
      </c>
      <c r="M217" s="4">
        <v>5200</v>
      </c>
      <c r="N217" s="4">
        <v>85986</v>
      </c>
      <c r="O217" t="s">
        <v>68</v>
      </c>
      <c r="P217" t="s">
        <v>69</v>
      </c>
      <c r="Q217">
        <v>2.89</v>
      </c>
      <c r="R217">
        <v>90</v>
      </c>
      <c r="S217">
        <v>28</v>
      </c>
      <c r="T217" t="s">
        <v>69</v>
      </c>
      <c r="U217">
        <v>2</v>
      </c>
      <c r="V217">
        <v>38</v>
      </c>
      <c r="W217" t="s">
        <v>70</v>
      </c>
      <c r="X217" t="s">
        <v>68</v>
      </c>
      <c r="Y217" t="s">
        <v>71</v>
      </c>
      <c r="Z217" t="s">
        <v>96</v>
      </c>
    </row>
    <row r="218" spans="1:26" x14ac:dyDescent="0.2">
      <c r="A218" t="s">
        <v>659</v>
      </c>
      <c r="B218" t="s">
        <v>309</v>
      </c>
      <c r="C218" t="s">
        <v>74</v>
      </c>
      <c r="D218" t="s">
        <v>313</v>
      </c>
      <c r="E218" t="s">
        <v>358</v>
      </c>
      <c r="F218" t="s">
        <v>120</v>
      </c>
      <c r="G218" t="s">
        <v>65</v>
      </c>
      <c r="H218" t="s">
        <v>78</v>
      </c>
      <c r="I218" t="s">
        <v>99</v>
      </c>
      <c r="J218" s="3">
        <v>41616</v>
      </c>
      <c r="K218">
        <v>12.1</v>
      </c>
      <c r="L218">
        <v>54</v>
      </c>
      <c r="M218" s="4">
        <v>8700</v>
      </c>
      <c r="N218" s="4">
        <v>137603</v>
      </c>
      <c r="O218" t="s">
        <v>68</v>
      </c>
      <c r="P218" t="s">
        <v>68</v>
      </c>
      <c r="Q218">
        <v>2.44</v>
      </c>
      <c r="R218">
        <v>46</v>
      </c>
      <c r="S218">
        <v>19</v>
      </c>
      <c r="T218" t="s">
        <v>69</v>
      </c>
      <c r="U218">
        <v>2</v>
      </c>
      <c r="V218">
        <v>51</v>
      </c>
      <c r="W218" t="s">
        <v>70</v>
      </c>
      <c r="X218" t="s">
        <v>68</v>
      </c>
      <c r="Y218" t="s">
        <v>86</v>
      </c>
      <c r="Z218" t="s">
        <v>74</v>
      </c>
    </row>
    <row r="219" spans="1:26" x14ac:dyDescent="0.2">
      <c r="A219" t="s">
        <v>660</v>
      </c>
      <c r="B219" t="s">
        <v>290</v>
      </c>
      <c r="C219" t="s">
        <v>96</v>
      </c>
      <c r="D219" t="s">
        <v>162</v>
      </c>
      <c r="E219" t="s">
        <v>403</v>
      </c>
      <c r="F219" t="s">
        <v>84</v>
      </c>
      <c r="G219" t="s">
        <v>65</v>
      </c>
      <c r="H219" t="s">
        <v>78</v>
      </c>
      <c r="I219" t="s">
        <v>99</v>
      </c>
      <c r="J219" s="3">
        <v>44184</v>
      </c>
      <c r="K219">
        <v>5</v>
      </c>
      <c r="L219">
        <v>32</v>
      </c>
      <c r="M219" s="4">
        <v>18300</v>
      </c>
      <c r="N219" s="4">
        <v>297818</v>
      </c>
      <c r="O219" t="s">
        <v>69</v>
      </c>
      <c r="P219" t="s">
        <v>69</v>
      </c>
      <c r="Q219">
        <v>2.67</v>
      </c>
      <c r="R219">
        <v>68</v>
      </c>
      <c r="S219">
        <v>26</v>
      </c>
      <c r="T219" t="s">
        <v>69</v>
      </c>
      <c r="U219">
        <v>4</v>
      </c>
      <c r="V219">
        <v>32</v>
      </c>
      <c r="W219" t="s">
        <v>68</v>
      </c>
      <c r="X219" t="s">
        <v>68</v>
      </c>
      <c r="Y219" t="s">
        <v>71</v>
      </c>
      <c r="Z219" t="s">
        <v>96</v>
      </c>
    </row>
    <row r="220" spans="1:26" x14ac:dyDescent="0.2">
      <c r="A220" t="s">
        <v>661</v>
      </c>
      <c r="B220" t="s">
        <v>662</v>
      </c>
      <c r="C220" t="s">
        <v>96</v>
      </c>
      <c r="D220" t="s">
        <v>234</v>
      </c>
      <c r="E220" t="s">
        <v>405</v>
      </c>
      <c r="F220" t="s">
        <v>136</v>
      </c>
      <c r="G220" t="s">
        <v>65</v>
      </c>
      <c r="H220" t="s">
        <v>66</v>
      </c>
      <c r="I220" t="s">
        <v>121</v>
      </c>
      <c r="J220" s="3">
        <v>45858</v>
      </c>
      <c r="K220">
        <v>0.5</v>
      </c>
      <c r="L220">
        <v>27</v>
      </c>
      <c r="M220" s="4">
        <v>14100</v>
      </c>
      <c r="N220" s="4">
        <v>217467</v>
      </c>
      <c r="O220" t="s">
        <v>68</v>
      </c>
      <c r="P220" t="s">
        <v>69</v>
      </c>
      <c r="Q220">
        <v>3.13</v>
      </c>
      <c r="R220">
        <v>72</v>
      </c>
      <c r="S220">
        <v>16</v>
      </c>
      <c r="T220" t="s">
        <v>69</v>
      </c>
      <c r="U220">
        <v>7</v>
      </c>
      <c r="V220">
        <v>20</v>
      </c>
      <c r="W220" t="s">
        <v>70</v>
      </c>
      <c r="X220" t="s">
        <v>68</v>
      </c>
      <c r="Y220" t="s">
        <v>71</v>
      </c>
      <c r="Z220" t="s">
        <v>96</v>
      </c>
    </row>
    <row r="221" spans="1:26" x14ac:dyDescent="0.2">
      <c r="A221" t="s">
        <v>663</v>
      </c>
      <c r="B221" t="s">
        <v>625</v>
      </c>
      <c r="C221" t="s">
        <v>124</v>
      </c>
      <c r="D221" t="s">
        <v>391</v>
      </c>
      <c r="E221" t="s">
        <v>664</v>
      </c>
      <c r="F221" t="s">
        <v>84</v>
      </c>
      <c r="G221" t="s">
        <v>85</v>
      </c>
      <c r="H221" t="s">
        <v>78</v>
      </c>
      <c r="I221" t="s">
        <v>99</v>
      </c>
      <c r="J221" s="3">
        <v>43793</v>
      </c>
      <c r="K221">
        <v>6.1</v>
      </c>
      <c r="L221">
        <v>26</v>
      </c>
      <c r="M221" s="4">
        <v>17500</v>
      </c>
      <c r="N221" s="4">
        <v>251567</v>
      </c>
      <c r="O221" t="s">
        <v>69</v>
      </c>
      <c r="P221" t="s">
        <v>68</v>
      </c>
      <c r="Q221">
        <v>3.4</v>
      </c>
      <c r="R221">
        <v>59</v>
      </c>
      <c r="S221">
        <v>50</v>
      </c>
      <c r="T221" t="s">
        <v>69</v>
      </c>
      <c r="U221">
        <v>3</v>
      </c>
      <c r="V221">
        <v>15</v>
      </c>
      <c r="W221" t="s">
        <v>68</v>
      </c>
      <c r="X221" t="s">
        <v>68</v>
      </c>
      <c r="Y221" t="s">
        <v>71</v>
      </c>
      <c r="Z221" t="s">
        <v>124</v>
      </c>
    </row>
    <row r="222" spans="1:26" x14ac:dyDescent="0.2">
      <c r="A222" t="s">
        <v>665</v>
      </c>
      <c r="B222" t="s">
        <v>666</v>
      </c>
      <c r="C222" t="s">
        <v>96</v>
      </c>
      <c r="D222" t="s">
        <v>129</v>
      </c>
      <c r="E222" t="s">
        <v>130</v>
      </c>
      <c r="F222" t="s">
        <v>120</v>
      </c>
      <c r="G222" t="s">
        <v>65</v>
      </c>
      <c r="H222" t="s">
        <v>78</v>
      </c>
      <c r="I222" t="s">
        <v>67</v>
      </c>
      <c r="J222" s="3">
        <v>43279</v>
      </c>
      <c r="K222">
        <v>7.5</v>
      </c>
      <c r="L222">
        <v>46</v>
      </c>
      <c r="M222" s="4">
        <v>8500</v>
      </c>
      <c r="N222" s="4">
        <v>129642</v>
      </c>
      <c r="O222" t="s">
        <v>68</v>
      </c>
      <c r="P222" t="s">
        <v>69</v>
      </c>
      <c r="Q222">
        <v>3.1</v>
      </c>
      <c r="R222">
        <v>61</v>
      </c>
      <c r="S222">
        <v>30</v>
      </c>
      <c r="T222" t="s">
        <v>69</v>
      </c>
      <c r="U222">
        <v>4</v>
      </c>
      <c r="V222">
        <v>32</v>
      </c>
      <c r="W222" t="s">
        <v>70</v>
      </c>
      <c r="X222" t="s">
        <v>68</v>
      </c>
      <c r="Y222" t="s">
        <v>71</v>
      </c>
      <c r="Z222" t="s">
        <v>96</v>
      </c>
    </row>
    <row r="223" spans="1:26" x14ac:dyDescent="0.2">
      <c r="A223" t="s">
        <v>667</v>
      </c>
      <c r="B223" t="s">
        <v>270</v>
      </c>
      <c r="C223" t="s">
        <v>124</v>
      </c>
      <c r="D223" t="s">
        <v>243</v>
      </c>
      <c r="E223" t="s">
        <v>668</v>
      </c>
      <c r="F223" t="s">
        <v>77</v>
      </c>
      <c r="G223" t="s">
        <v>65</v>
      </c>
      <c r="H223" t="s">
        <v>66</v>
      </c>
      <c r="I223" t="s">
        <v>105</v>
      </c>
      <c r="J223" s="3">
        <v>42452</v>
      </c>
      <c r="K223">
        <v>9.8000000000000007</v>
      </c>
      <c r="L223">
        <v>45</v>
      </c>
      <c r="M223" s="4">
        <v>9300</v>
      </c>
      <c r="N223" s="4">
        <v>133455</v>
      </c>
      <c r="O223" t="s">
        <v>68</v>
      </c>
      <c r="P223" t="s">
        <v>68</v>
      </c>
      <c r="Q223">
        <v>3.06</v>
      </c>
      <c r="R223">
        <v>59</v>
      </c>
      <c r="S223">
        <v>36</v>
      </c>
      <c r="T223" t="s">
        <v>69</v>
      </c>
      <c r="U223">
        <v>5</v>
      </c>
      <c r="V223">
        <v>41</v>
      </c>
      <c r="W223" t="s">
        <v>70</v>
      </c>
      <c r="X223" t="s">
        <v>68</v>
      </c>
      <c r="Y223" t="s">
        <v>86</v>
      </c>
      <c r="Z223" t="s">
        <v>124</v>
      </c>
    </row>
    <row r="224" spans="1:26" x14ac:dyDescent="0.2">
      <c r="A224" t="s">
        <v>669</v>
      </c>
      <c r="B224" t="s">
        <v>670</v>
      </c>
      <c r="C224" t="s">
        <v>102</v>
      </c>
      <c r="D224" t="s">
        <v>103</v>
      </c>
      <c r="E224" t="s">
        <v>458</v>
      </c>
      <c r="F224" t="s">
        <v>77</v>
      </c>
      <c r="G224" t="s">
        <v>215</v>
      </c>
      <c r="H224" t="s">
        <v>66</v>
      </c>
      <c r="I224" t="s">
        <v>93</v>
      </c>
      <c r="J224" s="3">
        <v>42046</v>
      </c>
      <c r="K224">
        <v>10.9</v>
      </c>
      <c r="L224">
        <v>22</v>
      </c>
      <c r="M224" s="4">
        <v>11300</v>
      </c>
      <c r="N224" s="4">
        <v>174089</v>
      </c>
      <c r="O224" t="s">
        <v>68</v>
      </c>
      <c r="P224" t="s">
        <v>69</v>
      </c>
      <c r="Q224">
        <v>3.53</v>
      </c>
      <c r="R224">
        <v>70</v>
      </c>
      <c r="S224">
        <v>45</v>
      </c>
      <c r="T224" t="s">
        <v>69</v>
      </c>
      <c r="U224">
        <v>6</v>
      </c>
      <c r="V224">
        <v>34</v>
      </c>
      <c r="W224" t="s">
        <v>70</v>
      </c>
      <c r="X224" t="s">
        <v>69</v>
      </c>
      <c r="Y224" t="s">
        <v>71</v>
      </c>
      <c r="Z224" t="s">
        <v>102</v>
      </c>
    </row>
    <row r="225" spans="1:26" x14ac:dyDescent="0.2">
      <c r="A225" t="s">
        <v>671</v>
      </c>
      <c r="B225" t="s">
        <v>672</v>
      </c>
      <c r="C225" t="s">
        <v>89</v>
      </c>
      <c r="D225" t="s">
        <v>90</v>
      </c>
      <c r="E225" t="s">
        <v>333</v>
      </c>
      <c r="F225" t="s">
        <v>136</v>
      </c>
      <c r="G225" t="s">
        <v>65</v>
      </c>
      <c r="H225" t="s">
        <v>78</v>
      </c>
      <c r="I225" t="s">
        <v>99</v>
      </c>
      <c r="J225" s="3">
        <v>42813</v>
      </c>
      <c r="K225">
        <v>8.8000000000000007</v>
      </c>
      <c r="L225">
        <v>52</v>
      </c>
      <c r="M225" s="4">
        <v>15500</v>
      </c>
      <c r="N225" s="4">
        <v>252445</v>
      </c>
      <c r="O225" t="s">
        <v>68</v>
      </c>
      <c r="P225" t="s">
        <v>69</v>
      </c>
      <c r="Q225">
        <v>2.86</v>
      </c>
      <c r="R225">
        <v>62</v>
      </c>
      <c r="S225">
        <v>21</v>
      </c>
      <c r="T225" t="s">
        <v>69</v>
      </c>
      <c r="U225">
        <v>7</v>
      </c>
      <c r="V225">
        <v>34</v>
      </c>
      <c r="W225" t="s">
        <v>70</v>
      </c>
      <c r="X225" t="s">
        <v>68</v>
      </c>
      <c r="Y225" t="s">
        <v>71</v>
      </c>
      <c r="Z225" t="s">
        <v>89</v>
      </c>
    </row>
    <row r="226" spans="1:26" x14ac:dyDescent="0.2">
      <c r="A226" t="s">
        <v>673</v>
      </c>
      <c r="B226" t="s">
        <v>674</v>
      </c>
      <c r="C226" t="s">
        <v>96</v>
      </c>
      <c r="D226" t="s">
        <v>97</v>
      </c>
      <c r="E226" t="s">
        <v>98</v>
      </c>
      <c r="F226" t="s">
        <v>77</v>
      </c>
      <c r="G226" t="s">
        <v>215</v>
      </c>
      <c r="H226" t="s">
        <v>66</v>
      </c>
      <c r="I226" t="s">
        <v>148</v>
      </c>
      <c r="J226" s="3">
        <v>44597</v>
      </c>
      <c r="K226">
        <v>3.9</v>
      </c>
      <c r="L226">
        <v>55</v>
      </c>
      <c r="M226" s="4">
        <v>10900</v>
      </c>
      <c r="N226" s="4">
        <v>172931</v>
      </c>
      <c r="O226" t="s">
        <v>68</v>
      </c>
      <c r="P226" t="s">
        <v>69</v>
      </c>
      <c r="Q226">
        <v>3.01</v>
      </c>
      <c r="R226">
        <v>64</v>
      </c>
      <c r="S226">
        <v>31</v>
      </c>
      <c r="T226" t="s">
        <v>69</v>
      </c>
      <c r="U226">
        <v>5</v>
      </c>
      <c r="V226">
        <v>0</v>
      </c>
      <c r="W226" t="s">
        <v>70</v>
      </c>
      <c r="X226" t="s">
        <v>68</v>
      </c>
      <c r="Y226" t="s">
        <v>71</v>
      </c>
      <c r="Z226" t="s">
        <v>96</v>
      </c>
    </row>
    <row r="227" spans="1:26" x14ac:dyDescent="0.2">
      <c r="A227" t="s">
        <v>675</v>
      </c>
      <c r="B227" t="s">
        <v>676</v>
      </c>
      <c r="C227" t="s">
        <v>108</v>
      </c>
      <c r="D227" t="s">
        <v>109</v>
      </c>
      <c r="E227" t="s">
        <v>600</v>
      </c>
      <c r="F227" t="s">
        <v>120</v>
      </c>
      <c r="G227" t="s">
        <v>65</v>
      </c>
      <c r="H227" t="s">
        <v>78</v>
      </c>
      <c r="I227" t="s">
        <v>93</v>
      </c>
      <c r="J227" s="3">
        <v>45853</v>
      </c>
      <c r="K227">
        <v>0.5</v>
      </c>
      <c r="L227">
        <v>37</v>
      </c>
      <c r="M227" s="4">
        <v>8200</v>
      </c>
      <c r="N227" s="4">
        <v>133370</v>
      </c>
      <c r="O227" t="s">
        <v>68</v>
      </c>
      <c r="P227" t="s">
        <v>69</v>
      </c>
      <c r="Q227">
        <v>2.57</v>
      </c>
      <c r="R227">
        <v>60</v>
      </c>
      <c r="S227">
        <v>14</v>
      </c>
      <c r="T227" t="s">
        <v>69</v>
      </c>
      <c r="U227">
        <v>10</v>
      </c>
      <c r="V227">
        <v>0</v>
      </c>
      <c r="W227" t="s">
        <v>70</v>
      </c>
      <c r="X227" t="s">
        <v>68</v>
      </c>
      <c r="Y227" t="s">
        <v>71</v>
      </c>
      <c r="Z227" t="s">
        <v>108</v>
      </c>
    </row>
    <row r="228" spans="1:26" x14ac:dyDescent="0.2">
      <c r="A228" t="s">
        <v>677</v>
      </c>
      <c r="B228" t="s">
        <v>678</v>
      </c>
      <c r="C228" t="s">
        <v>108</v>
      </c>
      <c r="D228" t="s">
        <v>222</v>
      </c>
      <c r="E228" t="s">
        <v>378</v>
      </c>
      <c r="F228" t="s">
        <v>77</v>
      </c>
      <c r="G228" t="s">
        <v>85</v>
      </c>
      <c r="H228" t="s">
        <v>78</v>
      </c>
      <c r="I228" t="s">
        <v>67</v>
      </c>
      <c r="J228" s="3">
        <v>44204</v>
      </c>
      <c r="K228">
        <v>5</v>
      </c>
      <c r="L228">
        <v>46</v>
      </c>
      <c r="M228" s="4">
        <v>8200</v>
      </c>
      <c r="N228" s="4">
        <v>117063</v>
      </c>
      <c r="O228" t="s">
        <v>68</v>
      </c>
      <c r="P228" t="s">
        <v>69</v>
      </c>
      <c r="Q228">
        <v>3.11</v>
      </c>
      <c r="R228">
        <v>77</v>
      </c>
      <c r="S228">
        <v>41</v>
      </c>
      <c r="T228" t="s">
        <v>69</v>
      </c>
      <c r="U228">
        <v>5</v>
      </c>
      <c r="V228">
        <v>12</v>
      </c>
      <c r="W228" t="s">
        <v>70</v>
      </c>
      <c r="X228" t="s">
        <v>68</v>
      </c>
      <c r="Y228" t="s">
        <v>71</v>
      </c>
      <c r="Z228" t="s">
        <v>108</v>
      </c>
    </row>
    <row r="229" spans="1:26" x14ac:dyDescent="0.2">
      <c r="A229" t="s">
        <v>679</v>
      </c>
      <c r="B229" t="s">
        <v>680</v>
      </c>
      <c r="C229" t="s">
        <v>89</v>
      </c>
      <c r="D229" t="s">
        <v>239</v>
      </c>
      <c r="E229" t="s">
        <v>261</v>
      </c>
      <c r="F229" t="s">
        <v>64</v>
      </c>
      <c r="G229" t="s">
        <v>85</v>
      </c>
      <c r="H229" t="s">
        <v>78</v>
      </c>
      <c r="I229" t="s">
        <v>115</v>
      </c>
      <c r="J229" s="3">
        <v>43327</v>
      </c>
      <c r="K229">
        <v>7.4</v>
      </c>
      <c r="L229">
        <v>29</v>
      </c>
      <c r="M229" s="4">
        <v>6400</v>
      </c>
      <c r="N229" s="4">
        <v>92831</v>
      </c>
      <c r="O229" t="s">
        <v>68</v>
      </c>
      <c r="P229" t="s">
        <v>69</v>
      </c>
      <c r="Q229">
        <v>2.93</v>
      </c>
      <c r="R229">
        <v>61</v>
      </c>
      <c r="S229">
        <v>31</v>
      </c>
      <c r="T229" t="s">
        <v>69</v>
      </c>
      <c r="U229">
        <v>0</v>
      </c>
      <c r="V229">
        <v>13</v>
      </c>
      <c r="W229" t="s">
        <v>70</v>
      </c>
      <c r="X229" t="s">
        <v>68</v>
      </c>
      <c r="Y229" t="s">
        <v>86</v>
      </c>
      <c r="Z229" t="s">
        <v>89</v>
      </c>
    </row>
    <row r="230" spans="1:26" x14ac:dyDescent="0.2">
      <c r="A230" t="s">
        <v>681</v>
      </c>
      <c r="B230" t="s">
        <v>682</v>
      </c>
      <c r="C230" t="s">
        <v>61</v>
      </c>
      <c r="D230" t="s">
        <v>62</v>
      </c>
      <c r="E230" t="s">
        <v>683</v>
      </c>
      <c r="F230" t="s">
        <v>92</v>
      </c>
      <c r="G230" t="s">
        <v>65</v>
      </c>
      <c r="H230" t="s">
        <v>78</v>
      </c>
      <c r="I230" t="s">
        <v>99</v>
      </c>
      <c r="J230" s="3">
        <v>41996</v>
      </c>
      <c r="K230">
        <v>11</v>
      </c>
      <c r="L230">
        <v>60</v>
      </c>
      <c r="M230" s="4">
        <v>3300</v>
      </c>
      <c r="N230" s="4">
        <v>49949</v>
      </c>
      <c r="O230" t="s">
        <v>68</v>
      </c>
      <c r="P230" t="s">
        <v>68</v>
      </c>
      <c r="Q230">
        <v>2.37</v>
      </c>
      <c r="R230">
        <v>56</v>
      </c>
      <c r="S230">
        <v>16</v>
      </c>
      <c r="T230" t="s">
        <v>69</v>
      </c>
      <c r="U230">
        <v>3</v>
      </c>
      <c r="V230">
        <v>30</v>
      </c>
      <c r="W230" t="s">
        <v>70</v>
      </c>
      <c r="X230" t="s">
        <v>68</v>
      </c>
      <c r="Y230" t="s">
        <v>86</v>
      </c>
      <c r="Z230" t="s">
        <v>61</v>
      </c>
    </row>
    <row r="231" spans="1:26" x14ac:dyDescent="0.2">
      <c r="A231" t="s">
        <v>684</v>
      </c>
      <c r="B231" t="s">
        <v>685</v>
      </c>
      <c r="C231" t="s">
        <v>102</v>
      </c>
      <c r="D231" t="s">
        <v>166</v>
      </c>
      <c r="E231" t="s">
        <v>686</v>
      </c>
      <c r="F231" t="s">
        <v>64</v>
      </c>
      <c r="G231" t="s">
        <v>65</v>
      </c>
      <c r="H231" t="s">
        <v>78</v>
      </c>
      <c r="I231" t="s">
        <v>67</v>
      </c>
      <c r="J231" s="3">
        <v>43642</v>
      </c>
      <c r="K231">
        <v>6.5</v>
      </c>
      <c r="L231">
        <v>29</v>
      </c>
      <c r="M231" s="4">
        <v>7800</v>
      </c>
      <c r="N231" s="4">
        <v>121588</v>
      </c>
      <c r="O231" t="s">
        <v>68</v>
      </c>
      <c r="P231" t="s">
        <v>69</v>
      </c>
      <c r="Q231">
        <v>3.49</v>
      </c>
      <c r="R231">
        <v>63</v>
      </c>
      <c r="S231">
        <v>23</v>
      </c>
      <c r="T231" t="s">
        <v>69</v>
      </c>
      <c r="U231">
        <v>10</v>
      </c>
      <c r="V231">
        <v>44</v>
      </c>
      <c r="W231" t="s">
        <v>70</v>
      </c>
      <c r="X231" t="s">
        <v>68</v>
      </c>
      <c r="Y231" t="s">
        <v>86</v>
      </c>
      <c r="Z231" t="s">
        <v>102</v>
      </c>
    </row>
    <row r="232" spans="1:26" x14ac:dyDescent="0.2">
      <c r="A232" t="s">
        <v>687</v>
      </c>
      <c r="B232" t="s">
        <v>522</v>
      </c>
      <c r="C232" t="s">
        <v>108</v>
      </c>
      <c r="D232" t="s">
        <v>222</v>
      </c>
      <c r="E232" t="s">
        <v>276</v>
      </c>
      <c r="F232" t="s">
        <v>120</v>
      </c>
      <c r="G232" t="s">
        <v>85</v>
      </c>
      <c r="H232" t="s">
        <v>66</v>
      </c>
      <c r="I232" t="s">
        <v>67</v>
      </c>
      <c r="J232" s="3">
        <v>41344</v>
      </c>
      <c r="K232">
        <v>12.8</v>
      </c>
      <c r="L232">
        <v>30</v>
      </c>
      <c r="M232" s="4">
        <v>8800</v>
      </c>
      <c r="N232" s="4">
        <v>141571</v>
      </c>
      <c r="O232" t="s">
        <v>68</v>
      </c>
      <c r="P232" t="s">
        <v>69</v>
      </c>
      <c r="Q232">
        <v>2.83</v>
      </c>
      <c r="R232">
        <v>67</v>
      </c>
      <c r="S232">
        <v>23</v>
      </c>
      <c r="T232" t="s">
        <v>69</v>
      </c>
      <c r="U232">
        <v>6</v>
      </c>
      <c r="V232">
        <v>33</v>
      </c>
      <c r="W232" t="s">
        <v>70</v>
      </c>
      <c r="X232" t="s">
        <v>68</v>
      </c>
      <c r="Y232" t="s">
        <v>71</v>
      </c>
      <c r="Z232" t="s">
        <v>108</v>
      </c>
    </row>
    <row r="233" spans="1:26" x14ac:dyDescent="0.2">
      <c r="A233" t="s">
        <v>688</v>
      </c>
      <c r="B233" t="s">
        <v>312</v>
      </c>
      <c r="C233" t="s">
        <v>89</v>
      </c>
      <c r="D233" t="s">
        <v>154</v>
      </c>
      <c r="E233" t="s">
        <v>689</v>
      </c>
      <c r="F233" t="s">
        <v>136</v>
      </c>
      <c r="G233" t="s">
        <v>65</v>
      </c>
      <c r="H233" t="s">
        <v>66</v>
      </c>
      <c r="I233" t="s">
        <v>67</v>
      </c>
      <c r="J233" s="3">
        <v>45725</v>
      </c>
      <c r="K233">
        <v>0.8</v>
      </c>
      <c r="L233">
        <v>51</v>
      </c>
      <c r="M233" s="4">
        <v>11900</v>
      </c>
      <c r="N233" s="4">
        <v>174759</v>
      </c>
      <c r="O233" t="s">
        <v>68</v>
      </c>
      <c r="P233" t="s">
        <v>69</v>
      </c>
      <c r="Q233">
        <v>2.64</v>
      </c>
      <c r="R233">
        <v>59</v>
      </c>
      <c r="S233">
        <v>22</v>
      </c>
      <c r="T233" t="s">
        <v>69</v>
      </c>
      <c r="U233">
        <v>10</v>
      </c>
      <c r="V233">
        <v>51</v>
      </c>
      <c r="W233" t="s">
        <v>70</v>
      </c>
      <c r="X233" t="s">
        <v>68</v>
      </c>
      <c r="Y233" t="s">
        <v>86</v>
      </c>
      <c r="Z233" t="s">
        <v>89</v>
      </c>
    </row>
    <row r="234" spans="1:26" x14ac:dyDescent="0.2">
      <c r="A234" t="s">
        <v>690</v>
      </c>
      <c r="B234" t="s">
        <v>594</v>
      </c>
      <c r="C234" t="s">
        <v>102</v>
      </c>
      <c r="D234" t="s">
        <v>339</v>
      </c>
      <c r="E234" t="s">
        <v>523</v>
      </c>
      <c r="F234" t="s">
        <v>136</v>
      </c>
      <c r="G234" t="s">
        <v>65</v>
      </c>
      <c r="H234" t="s">
        <v>66</v>
      </c>
      <c r="I234" t="s">
        <v>111</v>
      </c>
      <c r="J234" s="3">
        <v>45490</v>
      </c>
      <c r="K234">
        <v>1.5</v>
      </c>
      <c r="L234">
        <v>40</v>
      </c>
      <c r="M234" s="4">
        <v>10200</v>
      </c>
      <c r="N234" s="4">
        <v>155158</v>
      </c>
      <c r="O234" t="s">
        <v>68</v>
      </c>
      <c r="P234" t="s">
        <v>69</v>
      </c>
      <c r="Q234">
        <v>2.66</v>
      </c>
      <c r="R234">
        <v>68</v>
      </c>
      <c r="S234">
        <v>29</v>
      </c>
      <c r="T234" t="s">
        <v>69</v>
      </c>
      <c r="U234">
        <v>7</v>
      </c>
      <c r="V234">
        <v>39</v>
      </c>
      <c r="W234" t="s">
        <v>70</v>
      </c>
      <c r="X234" t="s">
        <v>68</v>
      </c>
      <c r="Y234" t="s">
        <v>71</v>
      </c>
      <c r="Z234" t="s">
        <v>102</v>
      </c>
    </row>
    <row r="235" spans="1:26" x14ac:dyDescent="0.2">
      <c r="A235" t="s">
        <v>691</v>
      </c>
      <c r="B235" t="s">
        <v>692</v>
      </c>
      <c r="C235" t="s">
        <v>108</v>
      </c>
      <c r="D235" t="s">
        <v>222</v>
      </c>
      <c r="E235" t="s">
        <v>693</v>
      </c>
      <c r="F235" t="s">
        <v>64</v>
      </c>
      <c r="G235" t="s">
        <v>65</v>
      </c>
      <c r="H235" t="s">
        <v>66</v>
      </c>
      <c r="I235" t="s">
        <v>115</v>
      </c>
      <c r="J235" s="3">
        <v>44180</v>
      </c>
      <c r="K235">
        <v>5</v>
      </c>
      <c r="L235">
        <v>52</v>
      </c>
      <c r="M235" s="4">
        <v>6400</v>
      </c>
      <c r="N235" s="4">
        <v>103030</v>
      </c>
      <c r="O235" t="s">
        <v>68</v>
      </c>
      <c r="P235" t="s">
        <v>69</v>
      </c>
      <c r="Q235">
        <v>3.18</v>
      </c>
      <c r="R235">
        <v>67</v>
      </c>
      <c r="S235">
        <v>30</v>
      </c>
      <c r="T235" t="s">
        <v>69</v>
      </c>
      <c r="U235">
        <v>5</v>
      </c>
      <c r="V235">
        <v>38</v>
      </c>
      <c r="W235" t="s">
        <v>70</v>
      </c>
      <c r="X235" t="s">
        <v>68</v>
      </c>
      <c r="Y235" t="s">
        <v>86</v>
      </c>
      <c r="Z235" t="s">
        <v>108</v>
      </c>
    </row>
    <row r="236" spans="1:26" x14ac:dyDescent="0.2">
      <c r="A236" t="s">
        <v>694</v>
      </c>
      <c r="B236" t="s">
        <v>695</v>
      </c>
      <c r="C236" t="s">
        <v>102</v>
      </c>
      <c r="D236" t="s">
        <v>103</v>
      </c>
      <c r="E236" t="s">
        <v>369</v>
      </c>
      <c r="F236" t="s">
        <v>120</v>
      </c>
      <c r="G236" t="s">
        <v>85</v>
      </c>
      <c r="H236" t="s">
        <v>66</v>
      </c>
      <c r="I236" t="s">
        <v>105</v>
      </c>
      <c r="J236" s="3">
        <v>44215</v>
      </c>
      <c r="K236">
        <v>5</v>
      </c>
      <c r="L236">
        <v>29</v>
      </c>
      <c r="M236" s="4">
        <v>6800</v>
      </c>
      <c r="N236" s="4">
        <v>110882</v>
      </c>
      <c r="O236" t="s">
        <v>68</v>
      </c>
      <c r="P236" t="s">
        <v>69</v>
      </c>
      <c r="Q236">
        <v>3.08</v>
      </c>
      <c r="R236">
        <v>56</v>
      </c>
      <c r="S236">
        <v>35</v>
      </c>
      <c r="T236" t="s">
        <v>69</v>
      </c>
      <c r="U236">
        <v>2</v>
      </c>
      <c r="V236">
        <v>25</v>
      </c>
      <c r="W236" t="s">
        <v>70</v>
      </c>
      <c r="X236" t="s">
        <v>68</v>
      </c>
      <c r="Y236" t="s">
        <v>71</v>
      </c>
      <c r="Z236" t="s">
        <v>102</v>
      </c>
    </row>
    <row r="237" spans="1:26" x14ac:dyDescent="0.2">
      <c r="A237" t="s">
        <v>696</v>
      </c>
      <c r="B237" t="s">
        <v>697</v>
      </c>
      <c r="C237" t="s">
        <v>89</v>
      </c>
      <c r="D237" t="s">
        <v>154</v>
      </c>
      <c r="E237" t="s">
        <v>454</v>
      </c>
      <c r="F237" t="s">
        <v>92</v>
      </c>
      <c r="G237" t="s">
        <v>65</v>
      </c>
      <c r="H237" t="s">
        <v>78</v>
      </c>
      <c r="I237" t="s">
        <v>148</v>
      </c>
      <c r="J237" s="3">
        <v>45045</v>
      </c>
      <c r="K237">
        <v>2.7</v>
      </c>
      <c r="L237">
        <v>55</v>
      </c>
      <c r="M237" s="4">
        <v>3600</v>
      </c>
      <c r="N237" s="4">
        <v>55509</v>
      </c>
      <c r="O237" t="s">
        <v>68</v>
      </c>
      <c r="P237" t="s">
        <v>69</v>
      </c>
      <c r="Q237">
        <v>2.56</v>
      </c>
      <c r="R237">
        <v>59</v>
      </c>
      <c r="S237">
        <v>38</v>
      </c>
      <c r="T237" t="s">
        <v>69</v>
      </c>
      <c r="U237">
        <v>10</v>
      </c>
      <c r="V237">
        <v>26</v>
      </c>
      <c r="W237" t="s">
        <v>70</v>
      </c>
      <c r="X237" t="s">
        <v>68</v>
      </c>
      <c r="Y237" t="s">
        <v>86</v>
      </c>
      <c r="Z237" t="s">
        <v>89</v>
      </c>
    </row>
    <row r="238" spans="1:26" x14ac:dyDescent="0.2">
      <c r="A238" t="s">
        <v>698</v>
      </c>
      <c r="B238" t="s">
        <v>646</v>
      </c>
      <c r="C238" t="s">
        <v>96</v>
      </c>
      <c r="D238" t="s">
        <v>129</v>
      </c>
      <c r="E238" t="s">
        <v>130</v>
      </c>
      <c r="F238" t="s">
        <v>120</v>
      </c>
      <c r="G238" t="s">
        <v>65</v>
      </c>
      <c r="H238" t="s">
        <v>66</v>
      </c>
      <c r="I238" t="s">
        <v>67</v>
      </c>
      <c r="J238" s="3">
        <v>42007</v>
      </c>
      <c r="K238">
        <v>11</v>
      </c>
      <c r="L238">
        <v>49</v>
      </c>
      <c r="M238" s="4">
        <v>10300</v>
      </c>
      <c r="N238" s="4">
        <v>146882</v>
      </c>
      <c r="O238" t="s">
        <v>68</v>
      </c>
      <c r="P238" t="s">
        <v>69</v>
      </c>
      <c r="Q238">
        <v>3.83</v>
      </c>
      <c r="R238">
        <v>68</v>
      </c>
      <c r="S238">
        <v>49</v>
      </c>
      <c r="T238" t="s">
        <v>69</v>
      </c>
      <c r="U238">
        <v>7</v>
      </c>
      <c r="V238">
        <v>0</v>
      </c>
      <c r="W238" t="s">
        <v>70</v>
      </c>
      <c r="X238" t="s">
        <v>69</v>
      </c>
      <c r="Y238" t="s">
        <v>71</v>
      </c>
      <c r="Z238" t="s">
        <v>96</v>
      </c>
    </row>
    <row r="239" spans="1:26" x14ac:dyDescent="0.2">
      <c r="A239" t="s">
        <v>699</v>
      </c>
      <c r="B239" t="s">
        <v>281</v>
      </c>
      <c r="C239" t="s">
        <v>89</v>
      </c>
      <c r="D239" t="s">
        <v>154</v>
      </c>
      <c r="E239" t="s">
        <v>650</v>
      </c>
      <c r="F239" t="s">
        <v>77</v>
      </c>
      <c r="G239" t="s">
        <v>215</v>
      </c>
      <c r="H239" t="s">
        <v>78</v>
      </c>
      <c r="I239" t="s">
        <v>236</v>
      </c>
      <c r="J239" s="3">
        <v>41008</v>
      </c>
      <c r="K239">
        <v>13.7</v>
      </c>
      <c r="L239">
        <v>31</v>
      </c>
      <c r="M239" s="4">
        <v>7700</v>
      </c>
      <c r="N239" s="4">
        <v>117318</v>
      </c>
      <c r="O239" t="s">
        <v>68</v>
      </c>
      <c r="P239" t="s">
        <v>69</v>
      </c>
      <c r="Q239">
        <v>2.58</v>
      </c>
      <c r="R239">
        <v>56</v>
      </c>
      <c r="S239">
        <v>26</v>
      </c>
      <c r="T239" t="s">
        <v>69</v>
      </c>
      <c r="U239">
        <v>1</v>
      </c>
      <c r="V239">
        <v>39</v>
      </c>
      <c r="W239" t="s">
        <v>70</v>
      </c>
      <c r="X239" t="s">
        <v>68</v>
      </c>
      <c r="Y239" t="s">
        <v>86</v>
      </c>
      <c r="Z239" t="s">
        <v>89</v>
      </c>
    </row>
    <row r="240" spans="1:26" x14ac:dyDescent="0.2">
      <c r="A240" t="s">
        <v>700</v>
      </c>
      <c r="B240" t="s">
        <v>701</v>
      </c>
      <c r="C240" t="s">
        <v>61</v>
      </c>
      <c r="D240" t="s">
        <v>62</v>
      </c>
      <c r="E240" t="s">
        <v>702</v>
      </c>
      <c r="F240" t="s">
        <v>120</v>
      </c>
      <c r="G240" t="s">
        <v>215</v>
      </c>
      <c r="H240" t="s">
        <v>78</v>
      </c>
      <c r="I240" t="s">
        <v>236</v>
      </c>
      <c r="J240" s="3">
        <v>43898</v>
      </c>
      <c r="K240">
        <v>5.8</v>
      </c>
      <c r="L240">
        <v>56</v>
      </c>
      <c r="M240" s="4">
        <v>8500</v>
      </c>
      <c r="N240" s="4">
        <v>136606</v>
      </c>
      <c r="O240" t="s">
        <v>68</v>
      </c>
      <c r="P240" t="s">
        <v>68</v>
      </c>
      <c r="Q240">
        <v>2.59</v>
      </c>
      <c r="R240">
        <v>73</v>
      </c>
      <c r="S240">
        <v>11</v>
      </c>
      <c r="T240" t="s">
        <v>68</v>
      </c>
      <c r="U240">
        <v>3</v>
      </c>
      <c r="V240">
        <v>29</v>
      </c>
      <c r="W240" t="s">
        <v>70</v>
      </c>
      <c r="X240" t="s">
        <v>68</v>
      </c>
      <c r="Y240" t="s">
        <v>71</v>
      </c>
      <c r="Z240" t="s">
        <v>61</v>
      </c>
    </row>
    <row r="241" spans="1:26" x14ac:dyDescent="0.2">
      <c r="A241" t="s">
        <v>703</v>
      </c>
      <c r="B241" t="s">
        <v>107</v>
      </c>
      <c r="C241" t="s">
        <v>89</v>
      </c>
      <c r="D241" t="s">
        <v>90</v>
      </c>
      <c r="E241" t="s">
        <v>333</v>
      </c>
      <c r="F241" t="s">
        <v>136</v>
      </c>
      <c r="G241" t="s">
        <v>65</v>
      </c>
      <c r="H241" t="s">
        <v>78</v>
      </c>
      <c r="I241" t="s">
        <v>115</v>
      </c>
      <c r="J241" s="3">
        <v>42017</v>
      </c>
      <c r="K241">
        <v>11</v>
      </c>
      <c r="L241">
        <v>31</v>
      </c>
      <c r="M241" s="4">
        <v>12800</v>
      </c>
      <c r="N241" s="4">
        <v>198246</v>
      </c>
      <c r="O241" t="s">
        <v>68</v>
      </c>
      <c r="P241" t="s">
        <v>69</v>
      </c>
      <c r="Q241">
        <v>3.09</v>
      </c>
      <c r="R241">
        <v>60</v>
      </c>
      <c r="S241">
        <v>26</v>
      </c>
      <c r="T241" t="s">
        <v>69</v>
      </c>
      <c r="U241">
        <v>6</v>
      </c>
      <c r="V241">
        <v>20</v>
      </c>
      <c r="W241" t="s">
        <v>70</v>
      </c>
      <c r="X241" t="s">
        <v>68</v>
      </c>
      <c r="Y241" t="s">
        <v>71</v>
      </c>
      <c r="Z241" t="s">
        <v>89</v>
      </c>
    </row>
    <row r="242" spans="1:26" x14ac:dyDescent="0.2">
      <c r="A242" t="s">
        <v>704</v>
      </c>
      <c r="B242" t="s">
        <v>491</v>
      </c>
      <c r="C242" t="s">
        <v>143</v>
      </c>
      <c r="D242" t="s">
        <v>207</v>
      </c>
      <c r="E242" t="s">
        <v>705</v>
      </c>
      <c r="F242" t="s">
        <v>136</v>
      </c>
      <c r="G242" t="s">
        <v>65</v>
      </c>
      <c r="H242" t="s">
        <v>78</v>
      </c>
      <c r="I242" t="s">
        <v>148</v>
      </c>
      <c r="J242" s="3">
        <v>41514</v>
      </c>
      <c r="K242">
        <v>12.4</v>
      </c>
      <c r="L242">
        <v>41</v>
      </c>
      <c r="M242" s="4">
        <v>17400</v>
      </c>
      <c r="N242" s="4">
        <v>266544</v>
      </c>
      <c r="O242" t="s">
        <v>69</v>
      </c>
      <c r="P242" t="s">
        <v>69</v>
      </c>
      <c r="Q242">
        <v>2.99</v>
      </c>
      <c r="R242">
        <v>68</v>
      </c>
      <c r="S242">
        <v>16</v>
      </c>
      <c r="T242" t="s">
        <v>69</v>
      </c>
      <c r="U242">
        <v>3</v>
      </c>
      <c r="V242">
        <v>7</v>
      </c>
      <c r="W242" t="s">
        <v>68</v>
      </c>
      <c r="X242" t="s">
        <v>68</v>
      </c>
      <c r="Y242" t="s">
        <v>71</v>
      </c>
      <c r="Z242" t="s">
        <v>143</v>
      </c>
    </row>
    <row r="243" spans="1:26" x14ac:dyDescent="0.2">
      <c r="A243" t="s">
        <v>706</v>
      </c>
      <c r="B243" t="s">
        <v>509</v>
      </c>
      <c r="C243" t="s">
        <v>89</v>
      </c>
      <c r="D243" t="s">
        <v>230</v>
      </c>
      <c r="E243" t="s">
        <v>586</v>
      </c>
      <c r="F243" t="s">
        <v>92</v>
      </c>
      <c r="G243" t="s">
        <v>215</v>
      </c>
      <c r="H243" t="s">
        <v>66</v>
      </c>
      <c r="I243" t="s">
        <v>67</v>
      </c>
      <c r="J243" s="3">
        <v>41251</v>
      </c>
      <c r="K243">
        <v>13.1</v>
      </c>
      <c r="L243">
        <v>50</v>
      </c>
      <c r="M243" s="4">
        <v>4400</v>
      </c>
      <c r="N243" s="4">
        <v>63470</v>
      </c>
      <c r="O243" t="s">
        <v>68</v>
      </c>
      <c r="P243" t="s">
        <v>69</v>
      </c>
      <c r="Q243">
        <v>3.68</v>
      </c>
      <c r="R243">
        <v>67</v>
      </c>
      <c r="S243">
        <v>31</v>
      </c>
      <c r="T243" t="s">
        <v>69</v>
      </c>
      <c r="U243">
        <v>9</v>
      </c>
      <c r="V243">
        <v>38</v>
      </c>
      <c r="W243" t="s">
        <v>70</v>
      </c>
      <c r="X243" t="s">
        <v>69</v>
      </c>
      <c r="Y243" t="s">
        <v>86</v>
      </c>
      <c r="Z243" t="s">
        <v>89</v>
      </c>
    </row>
    <row r="244" spans="1:26" x14ac:dyDescent="0.2">
      <c r="A244" t="s">
        <v>707</v>
      </c>
      <c r="B244" t="s">
        <v>708</v>
      </c>
      <c r="C244" t="s">
        <v>74</v>
      </c>
      <c r="D244" t="s">
        <v>139</v>
      </c>
      <c r="E244" t="s">
        <v>709</v>
      </c>
      <c r="F244" t="s">
        <v>77</v>
      </c>
      <c r="G244" t="s">
        <v>227</v>
      </c>
      <c r="H244" t="s">
        <v>78</v>
      </c>
      <c r="I244" t="s">
        <v>99</v>
      </c>
      <c r="J244" s="3">
        <v>43173</v>
      </c>
      <c r="K244">
        <v>7.8</v>
      </c>
      <c r="L244">
        <v>39</v>
      </c>
      <c r="M244" s="4">
        <v>10700</v>
      </c>
      <c r="N244" s="4">
        <v>157213</v>
      </c>
      <c r="O244" t="s">
        <v>68</v>
      </c>
      <c r="P244" t="s">
        <v>69</v>
      </c>
      <c r="Q244">
        <v>2.9</v>
      </c>
      <c r="R244">
        <v>65</v>
      </c>
      <c r="S244">
        <v>45</v>
      </c>
      <c r="T244" t="s">
        <v>69</v>
      </c>
      <c r="U244">
        <v>9</v>
      </c>
      <c r="V244">
        <v>0</v>
      </c>
      <c r="W244" t="s">
        <v>70</v>
      </c>
      <c r="X244" t="s">
        <v>68</v>
      </c>
      <c r="Y244" t="s">
        <v>71</v>
      </c>
      <c r="Z244" t="s">
        <v>74</v>
      </c>
    </row>
    <row r="245" spans="1:26" x14ac:dyDescent="0.2">
      <c r="A245" t="s">
        <v>710</v>
      </c>
      <c r="B245" t="s">
        <v>711</v>
      </c>
      <c r="C245" t="s">
        <v>124</v>
      </c>
      <c r="D245" t="s">
        <v>125</v>
      </c>
      <c r="E245" t="s">
        <v>712</v>
      </c>
      <c r="F245" t="s">
        <v>136</v>
      </c>
      <c r="G245" t="s">
        <v>65</v>
      </c>
      <c r="H245" t="s">
        <v>78</v>
      </c>
      <c r="I245" t="s">
        <v>99</v>
      </c>
      <c r="J245" s="3">
        <v>45084</v>
      </c>
      <c r="K245">
        <v>2.6</v>
      </c>
      <c r="L245">
        <v>54</v>
      </c>
      <c r="M245" s="4">
        <v>17100</v>
      </c>
      <c r="N245" s="4">
        <v>264589</v>
      </c>
      <c r="O245" t="s">
        <v>68</v>
      </c>
      <c r="P245" t="s">
        <v>69</v>
      </c>
      <c r="Q245">
        <v>2.96</v>
      </c>
      <c r="R245">
        <v>62</v>
      </c>
      <c r="S245">
        <v>19</v>
      </c>
      <c r="T245" t="s">
        <v>69</v>
      </c>
      <c r="U245">
        <v>12</v>
      </c>
      <c r="V245">
        <v>23</v>
      </c>
      <c r="W245" t="s">
        <v>70</v>
      </c>
      <c r="X245" t="s">
        <v>68</v>
      </c>
      <c r="Y245" t="s">
        <v>71</v>
      </c>
      <c r="Z245" t="s">
        <v>124</v>
      </c>
    </row>
    <row r="246" spans="1:26" x14ac:dyDescent="0.2">
      <c r="A246" t="s">
        <v>713</v>
      </c>
      <c r="B246" t="s">
        <v>345</v>
      </c>
      <c r="C246" t="s">
        <v>102</v>
      </c>
      <c r="D246" t="s">
        <v>339</v>
      </c>
      <c r="E246" t="s">
        <v>714</v>
      </c>
      <c r="F246" t="s">
        <v>191</v>
      </c>
      <c r="G246" t="s">
        <v>65</v>
      </c>
      <c r="H246" t="s">
        <v>66</v>
      </c>
      <c r="I246" t="s">
        <v>67</v>
      </c>
      <c r="J246" s="3">
        <v>41530</v>
      </c>
      <c r="K246">
        <v>12.3</v>
      </c>
      <c r="L246">
        <v>46</v>
      </c>
      <c r="M246" s="4">
        <v>30200</v>
      </c>
      <c r="N246" s="4">
        <v>428810</v>
      </c>
      <c r="O246" t="s">
        <v>69</v>
      </c>
      <c r="P246" t="s">
        <v>69</v>
      </c>
      <c r="Q246">
        <v>2.82</v>
      </c>
      <c r="R246">
        <v>78</v>
      </c>
      <c r="S246">
        <v>37</v>
      </c>
      <c r="T246" t="s">
        <v>69</v>
      </c>
      <c r="U246">
        <v>2</v>
      </c>
      <c r="V246">
        <v>48</v>
      </c>
      <c r="W246" t="s">
        <v>68</v>
      </c>
      <c r="X246" t="s">
        <v>68</v>
      </c>
      <c r="Y246" t="s">
        <v>71</v>
      </c>
      <c r="Z246" t="s">
        <v>102</v>
      </c>
    </row>
    <row r="247" spans="1:26" x14ac:dyDescent="0.2">
      <c r="A247" t="s">
        <v>715</v>
      </c>
      <c r="B247" t="s">
        <v>716</v>
      </c>
      <c r="C247" t="s">
        <v>89</v>
      </c>
      <c r="D247" t="s">
        <v>90</v>
      </c>
      <c r="E247" t="s">
        <v>333</v>
      </c>
      <c r="F247" t="s">
        <v>136</v>
      </c>
      <c r="G247" t="s">
        <v>65</v>
      </c>
      <c r="H247" t="s">
        <v>66</v>
      </c>
      <c r="I247" t="s">
        <v>111</v>
      </c>
      <c r="J247" s="3">
        <v>43807</v>
      </c>
      <c r="K247">
        <v>6.1</v>
      </c>
      <c r="L247">
        <v>35</v>
      </c>
      <c r="M247" s="4">
        <v>12400</v>
      </c>
      <c r="N247" s="4">
        <v>185730</v>
      </c>
      <c r="O247" t="s">
        <v>68</v>
      </c>
      <c r="P247" t="s">
        <v>69</v>
      </c>
      <c r="Q247">
        <v>2.56</v>
      </c>
      <c r="R247">
        <v>72</v>
      </c>
      <c r="S247">
        <v>22</v>
      </c>
      <c r="T247" t="s">
        <v>69</v>
      </c>
      <c r="U247">
        <v>10</v>
      </c>
      <c r="V247">
        <v>36</v>
      </c>
      <c r="W247" t="s">
        <v>70</v>
      </c>
      <c r="X247" t="s">
        <v>68</v>
      </c>
      <c r="Y247" t="s">
        <v>71</v>
      </c>
      <c r="Z247" t="s">
        <v>89</v>
      </c>
    </row>
    <row r="248" spans="1:26" x14ac:dyDescent="0.2">
      <c r="A248" t="s">
        <v>717</v>
      </c>
      <c r="B248" t="s">
        <v>718</v>
      </c>
      <c r="C248" t="s">
        <v>102</v>
      </c>
      <c r="D248" t="s">
        <v>166</v>
      </c>
      <c r="E248" t="s">
        <v>686</v>
      </c>
      <c r="F248" t="s">
        <v>64</v>
      </c>
      <c r="G248" t="s">
        <v>65</v>
      </c>
      <c r="H248" t="s">
        <v>66</v>
      </c>
      <c r="I248" t="s">
        <v>148</v>
      </c>
      <c r="J248" s="3">
        <v>43535</v>
      </c>
      <c r="K248">
        <v>6.8</v>
      </c>
      <c r="L248">
        <v>53</v>
      </c>
      <c r="M248" s="4">
        <v>6900</v>
      </c>
      <c r="N248" s="4">
        <v>99057</v>
      </c>
      <c r="O248" t="s">
        <v>68</v>
      </c>
      <c r="P248" t="s">
        <v>69</v>
      </c>
      <c r="Q248">
        <v>2.72</v>
      </c>
      <c r="R248">
        <v>73</v>
      </c>
      <c r="S248">
        <v>39</v>
      </c>
      <c r="T248" t="s">
        <v>69</v>
      </c>
      <c r="U248">
        <v>0</v>
      </c>
      <c r="V248">
        <v>18</v>
      </c>
      <c r="W248" t="s">
        <v>70</v>
      </c>
      <c r="X248" t="s">
        <v>68</v>
      </c>
      <c r="Y248" t="s">
        <v>71</v>
      </c>
      <c r="Z248" t="s">
        <v>102</v>
      </c>
    </row>
    <row r="249" spans="1:26" x14ac:dyDescent="0.2">
      <c r="A249" t="s">
        <v>719</v>
      </c>
      <c r="B249" t="s">
        <v>720</v>
      </c>
      <c r="C249" t="s">
        <v>108</v>
      </c>
      <c r="D249" t="s">
        <v>222</v>
      </c>
      <c r="E249" t="s">
        <v>375</v>
      </c>
      <c r="F249" t="s">
        <v>84</v>
      </c>
      <c r="G249" t="s">
        <v>65</v>
      </c>
      <c r="H249" t="s">
        <v>78</v>
      </c>
      <c r="I249" t="s">
        <v>93</v>
      </c>
      <c r="J249" s="3">
        <v>44695</v>
      </c>
      <c r="K249">
        <v>3.6</v>
      </c>
      <c r="L249">
        <v>30</v>
      </c>
      <c r="M249" s="4">
        <v>13900</v>
      </c>
      <c r="N249" s="4">
        <v>197562</v>
      </c>
      <c r="O249" t="s">
        <v>69</v>
      </c>
      <c r="P249" t="s">
        <v>69</v>
      </c>
      <c r="Q249">
        <v>3.04</v>
      </c>
      <c r="R249">
        <v>66</v>
      </c>
      <c r="S249">
        <v>25</v>
      </c>
      <c r="T249" t="s">
        <v>69</v>
      </c>
      <c r="U249">
        <v>5</v>
      </c>
      <c r="V249">
        <v>22</v>
      </c>
      <c r="W249" t="s">
        <v>68</v>
      </c>
      <c r="X249" t="s">
        <v>68</v>
      </c>
      <c r="Y249" t="s">
        <v>71</v>
      </c>
      <c r="Z249" t="s">
        <v>108</v>
      </c>
    </row>
    <row r="250" spans="1:26" x14ac:dyDescent="0.2">
      <c r="A250" t="s">
        <v>721</v>
      </c>
      <c r="B250" t="s">
        <v>722</v>
      </c>
      <c r="C250" t="s">
        <v>102</v>
      </c>
      <c r="D250" t="s">
        <v>339</v>
      </c>
      <c r="E250" t="s">
        <v>472</v>
      </c>
      <c r="F250" t="s">
        <v>64</v>
      </c>
      <c r="G250" t="s">
        <v>65</v>
      </c>
      <c r="H250" t="s">
        <v>78</v>
      </c>
      <c r="I250" t="s">
        <v>99</v>
      </c>
      <c r="J250" s="3">
        <v>45878</v>
      </c>
      <c r="K250">
        <v>0.4</v>
      </c>
      <c r="L250">
        <v>25</v>
      </c>
      <c r="M250" s="4">
        <v>5900</v>
      </c>
      <c r="N250" s="4">
        <v>86133</v>
      </c>
      <c r="O250" t="s">
        <v>68</v>
      </c>
      <c r="P250" t="s">
        <v>69</v>
      </c>
      <c r="Q250">
        <v>3.24</v>
      </c>
      <c r="R250">
        <v>52</v>
      </c>
      <c r="S250">
        <v>36</v>
      </c>
      <c r="T250" t="s">
        <v>69</v>
      </c>
      <c r="U250">
        <v>0</v>
      </c>
      <c r="V250">
        <v>34</v>
      </c>
      <c r="W250" t="s">
        <v>70</v>
      </c>
      <c r="X250" t="s">
        <v>68</v>
      </c>
      <c r="Y250" t="s">
        <v>86</v>
      </c>
      <c r="Z250" t="s">
        <v>102</v>
      </c>
    </row>
    <row r="251" spans="1:26" x14ac:dyDescent="0.2">
      <c r="A251" t="s">
        <v>723</v>
      </c>
      <c r="B251" t="s">
        <v>724</v>
      </c>
      <c r="C251" t="s">
        <v>143</v>
      </c>
      <c r="D251" t="s">
        <v>158</v>
      </c>
      <c r="E251" t="s">
        <v>607</v>
      </c>
      <c r="F251" t="s">
        <v>92</v>
      </c>
      <c r="G251" t="s">
        <v>65</v>
      </c>
      <c r="H251" t="s">
        <v>78</v>
      </c>
      <c r="I251" t="s">
        <v>67</v>
      </c>
      <c r="J251" s="3">
        <v>45669</v>
      </c>
      <c r="K251">
        <v>1</v>
      </c>
      <c r="L251">
        <v>33</v>
      </c>
      <c r="M251" s="4">
        <v>4400</v>
      </c>
      <c r="N251" s="4">
        <v>63340</v>
      </c>
      <c r="O251" t="s">
        <v>68</v>
      </c>
      <c r="P251" t="s">
        <v>69</v>
      </c>
      <c r="Q251">
        <v>3.55</v>
      </c>
      <c r="R251">
        <v>55</v>
      </c>
      <c r="S251">
        <v>28</v>
      </c>
      <c r="T251" t="s">
        <v>68</v>
      </c>
      <c r="U251">
        <v>5</v>
      </c>
      <c r="V251">
        <v>15</v>
      </c>
      <c r="W251" t="s">
        <v>70</v>
      </c>
      <c r="X251" t="s">
        <v>69</v>
      </c>
      <c r="Y251" t="s">
        <v>86</v>
      </c>
      <c r="Z251" t="s">
        <v>143</v>
      </c>
    </row>
    <row r="252" spans="1:26" x14ac:dyDescent="0.2">
      <c r="A252" t="s">
        <v>725</v>
      </c>
      <c r="B252" t="s">
        <v>471</v>
      </c>
      <c r="C252" t="s">
        <v>74</v>
      </c>
      <c r="D252" t="s">
        <v>118</v>
      </c>
      <c r="E252" t="s">
        <v>511</v>
      </c>
      <c r="F252" t="s">
        <v>77</v>
      </c>
      <c r="G252" t="s">
        <v>85</v>
      </c>
      <c r="H252" t="s">
        <v>66</v>
      </c>
      <c r="I252" t="s">
        <v>148</v>
      </c>
      <c r="J252" s="3">
        <v>43274</v>
      </c>
      <c r="K252">
        <v>7.5</v>
      </c>
      <c r="L252">
        <v>32</v>
      </c>
      <c r="M252" s="4">
        <v>12900</v>
      </c>
      <c r="N252" s="4">
        <v>209283</v>
      </c>
      <c r="O252" t="s">
        <v>68</v>
      </c>
      <c r="P252" t="s">
        <v>68</v>
      </c>
      <c r="Q252">
        <v>2.91</v>
      </c>
      <c r="R252">
        <v>62</v>
      </c>
      <c r="S252">
        <v>32</v>
      </c>
      <c r="T252" t="s">
        <v>68</v>
      </c>
      <c r="U252">
        <v>4</v>
      </c>
      <c r="V252">
        <v>38</v>
      </c>
      <c r="W252" t="s">
        <v>70</v>
      </c>
      <c r="X252" t="s">
        <v>68</v>
      </c>
      <c r="Y252" t="s">
        <v>71</v>
      </c>
      <c r="Z252" t="s">
        <v>74</v>
      </c>
    </row>
    <row r="253" spans="1:26" x14ac:dyDescent="0.2">
      <c r="A253" t="s">
        <v>726</v>
      </c>
      <c r="B253" t="s">
        <v>727</v>
      </c>
      <c r="C253" t="s">
        <v>74</v>
      </c>
      <c r="D253" t="s">
        <v>75</v>
      </c>
      <c r="E253" t="s">
        <v>728</v>
      </c>
      <c r="F253" t="s">
        <v>174</v>
      </c>
      <c r="G253" t="s">
        <v>65</v>
      </c>
      <c r="H253" t="s">
        <v>66</v>
      </c>
      <c r="I253" t="s">
        <v>148</v>
      </c>
      <c r="J253" s="3">
        <v>45581</v>
      </c>
      <c r="K253">
        <v>1.2</v>
      </c>
      <c r="L253">
        <v>31</v>
      </c>
      <c r="M253" s="4">
        <v>25400</v>
      </c>
      <c r="N253" s="4">
        <v>371146</v>
      </c>
      <c r="O253" t="s">
        <v>69</v>
      </c>
      <c r="P253" t="s">
        <v>68</v>
      </c>
      <c r="Q253">
        <v>3</v>
      </c>
      <c r="R253">
        <v>67</v>
      </c>
      <c r="S253">
        <v>34</v>
      </c>
      <c r="T253" t="s">
        <v>68</v>
      </c>
      <c r="U253">
        <v>12</v>
      </c>
      <c r="V253">
        <v>30</v>
      </c>
      <c r="W253" t="s">
        <v>69</v>
      </c>
      <c r="X253" t="s">
        <v>68</v>
      </c>
      <c r="Y253" t="s">
        <v>71</v>
      </c>
      <c r="Z253" t="s">
        <v>74</v>
      </c>
    </row>
    <row r="254" spans="1:26" x14ac:dyDescent="0.2">
      <c r="A254" t="s">
        <v>729</v>
      </c>
      <c r="B254" t="s">
        <v>590</v>
      </c>
      <c r="C254" t="s">
        <v>96</v>
      </c>
      <c r="D254" t="s">
        <v>97</v>
      </c>
      <c r="E254" t="s">
        <v>730</v>
      </c>
      <c r="F254" t="s">
        <v>64</v>
      </c>
      <c r="G254" t="s">
        <v>65</v>
      </c>
      <c r="H254" t="s">
        <v>66</v>
      </c>
      <c r="I254" t="s">
        <v>67</v>
      </c>
      <c r="J254" s="3">
        <v>43010</v>
      </c>
      <c r="K254">
        <v>8.3000000000000007</v>
      </c>
      <c r="L254">
        <v>39</v>
      </c>
      <c r="M254" s="4">
        <v>7200</v>
      </c>
      <c r="N254" s="4">
        <v>110721</v>
      </c>
      <c r="O254" t="s">
        <v>68</v>
      </c>
      <c r="P254" t="s">
        <v>69</v>
      </c>
      <c r="Q254">
        <v>2.42</v>
      </c>
      <c r="R254">
        <v>40</v>
      </c>
      <c r="S254">
        <v>29</v>
      </c>
      <c r="T254" t="s">
        <v>69</v>
      </c>
      <c r="U254">
        <v>6</v>
      </c>
      <c r="V254">
        <v>0</v>
      </c>
      <c r="W254" t="s">
        <v>70</v>
      </c>
      <c r="X254" t="s">
        <v>68</v>
      </c>
      <c r="Y254" t="s">
        <v>86</v>
      </c>
      <c r="Z254" t="s">
        <v>96</v>
      </c>
    </row>
    <row r="255" spans="1:26" x14ac:dyDescent="0.2">
      <c r="A255" t="s">
        <v>731</v>
      </c>
      <c r="B255" t="s">
        <v>732</v>
      </c>
      <c r="C255" t="s">
        <v>108</v>
      </c>
      <c r="D255" t="s">
        <v>222</v>
      </c>
      <c r="E255" t="s">
        <v>378</v>
      </c>
      <c r="F255" t="s">
        <v>77</v>
      </c>
      <c r="G255" t="s">
        <v>65</v>
      </c>
      <c r="H255" t="s">
        <v>78</v>
      </c>
      <c r="I255" t="s">
        <v>67</v>
      </c>
      <c r="J255" s="3">
        <v>43598</v>
      </c>
      <c r="K255">
        <v>6.6</v>
      </c>
      <c r="L255">
        <v>35</v>
      </c>
      <c r="M255" s="4">
        <v>11400</v>
      </c>
      <c r="N255" s="4">
        <v>178858</v>
      </c>
      <c r="O255" t="s">
        <v>68</v>
      </c>
      <c r="P255" t="s">
        <v>69</v>
      </c>
      <c r="Q255">
        <v>3.19</v>
      </c>
      <c r="R255">
        <v>51</v>
      </c>
      <c r="S255">
        <v>43</v>
      </c>
      <c r="T255" t="s">
        <v>69</v>
      </c>
      <c r="U255">
        <v>9</v>
      </c>
      <c r="V255">
        <v>47</v>
      </c>
      <c r="W255" t="s">
        <v>70</v>
      </c>
      <c r="X255" t="s">
        <v>68</v>
      </c>
      <c r="Y255" t="s">
        <v>86</v>
      </c>
      <c r="Z255" t="s">
        <v>108</v>
      </c>
    </row>
    <row r="256" spans="1:26" x14ac:dyDescent="0.2">
      <c r="A256" t="s">
        <v>733</v>
      </c>
      <c r="B256" t="s">
        <v>292</v>
      </c>
      <c r="C256" t="s">
        <v>108</v>
      </c>
      <c r="D256" t="s">
        <v>109</v>
      </c>
      <c r="E256" t="s">
        <v>600</v>
      </c>
      <c r="F256" t="s">
        <v>120</v>
      </c>
      <c r="G256" t="s">
        <v>65</v>
      </c>
      <c r="H256" t="s">
        <v>66</v>
      </c>
      <c r="I256" t="s">
        <v>67</v>
      </c>
      <c r="J256" s="3">
        <v>45353</v>
      </c>
      <c r="K256">
        <v>1.8</v>
      </c>
      <c r="L256">
        <v>31</v>
      </c>
      <c r="M256" s="4">
        <v>10500</v>
      </c>
      <c r="N256" s="4">
        <v>161777</v>
      </c>
      <c r="O256" t="s">
        <v>68</v>
      </c>
      <c r="P256" t="s">
        <v>69</v>
      </c>
      <c r="Q256">
        <v>3.05</v>
      </c>
      <c r="R256">
        <v>65</v>
      </c>
      <c r="S256">
        <v>19</v>
      </c>
      <c r="T256" t="s">
        <v>69</v>
      </c>
      <c r="U256">
        <v>0</v>
      </c>
      <c r="V256">
        <v>47</v>
      </c>
      <c r="W256" t="s">
        <v>70</v>
      </c>
      <c r="X256" t="s">
        <v>68</v>
      </c>
      <c r="Y256" t="s">
        <v>71</v>
      </c>
      <c r="Z256" t="s">
        <v>108</v>
      </c>
    </row>
    <row r="257" spans="1:26" x14ac:dyDescent="0.2">
      <c r="A257" t="s">
        <v>734</v>
      </c>
      <c r="B257" t="s">
        <v>221</v>
      </c>
      <c r="C257" t="s">
        <v>102</v>
      </c>
      <c r="D257" t="s">
        <v>339</v>
      </c>
      <c r="E257" t="s">
        <v>469</v>
      </c>
      <c r="F257" t="s">
        <v>120</v>
      </c>
      <c r="G257" t="s">
        <v>65</v>
      </c>
      <c r="H257" t="s">
        <v>78</v>
      </c>
      <c r="I257" t="s">
        <v>99</v>
      </c>
      <c r="J257" s="3">
        <v>43267</v>
      </c>
      <c r="K257">
        <v>7.6</v>
      </c>
      <c r="L257">
        <v>46</v>
      </c>
      <c r="M257" s="4">
        <v>8700</v>
      </c>
      <c r="N257" s="4">
        <v>130225</v>
      </c>
      <c r="O257" t="s">
        <v>68</v>
      </c>
      <c r="P257" t="s">
        <v>69</v>
      </c>
      <c r="Q257">
        <v>2.89</v>
      </c>
      <c r="R257">
        <v>60</v>
      </c>
      <c r="S257">
        <v>29</v>
      </c>
      <c r="T257" t="s">
        <v>69</v>
      </c>
      <c r="U257">
        <v>0</v>
      </c>
      <c r="V257">
        <v>41</v>
      </c>
      <c r="W257" t="s">
        <v>70</v>
      </c>
      <c r="X257" t="s">
        <v>68</v>
      </c>
      <c r="Y257" t="s">
        <v>86</v>
      </c>
      <c r="Z257" t="s">
        <v>102</v>
      </c>
    </row>
    <row r="258" spans="1:26" x14ac:dyDescent="0.2">
      <c r="A258" t="s">
        <v>735</v>
      </c>
      <c r="B258" t="s">
        <v>471</v>
      </c>
      <c r="C258" t="s">
        <v>124</v>
      </c>
      <c r="D258" t="s">
        <v>465</v>
      </c>
      <c r="E258" t="s">
        <v>736</v>
      </c>
      <c r="F258" t="s">
        <v>77</v>
      </c>
      <c r="G258" t="s">
        <v>65</v>
      </c>
      <c r="H258" t="s">
        <v>78</v>
      </c>
      <c r="I258" t="s">
        <v>99</v>
      </c>
      <c r="J258" s="3">
        <v>42473</v>
      </c>
      <c r="K258">
        <v>9.6999999999999993</v>
      </c>
      <c r="L258">
        <v>56</v>
      </c>
      <c r="M258" s="4">
        <v>10300</v>
      </c>
      <c r="N258" s="4">
        <v>157813</v>
      </c>
      <c r="O258" t="s">
        <v>68</v>
      </c>
      <c r="P258" t="s">
        <v>68</v>
      </c>
      <c r="Q258">
        <v>2.89</v>
      </c>
      <c r="R258">
        <v>73</v>
      </c>
      <c r="S258">
        <v>18</v>
      </c>
      <c r="T258" t="s">
        <v>69</v>
      </c>
      <c r="U258">
        <v>7</v>
      </c>
      <c r="V258">
        <v>19</v>
      </c>
      <c r="W258" t="s">
        <v>70</v>
      </c>
      <c r="X258" t="s">
        <v>68</v>
      </c>
      <c r="Y258" t="s">
        <v>71</v>
      </c>
      <c r="Z258" t="s">
        <v>124</v>
      </c>
    </row>
    <row r="259" spans="1:26" x14ac:dyDescent="0.2">
      <c r="A259" t="s">
        <v>737</v>
      </c>
      <c r="B259" t="s">
        <v>738</v>
      </c>
      <c r="C259" t="s">
        <v>89</v>
      </c>
      <c r="D259" t="s">
        <v>239</v>
      </c>
      <c r="E259" t="s">
        <v>372</v>
      </c>
      <c r="F259" t="s">
        <v>120</v>
      </c>
      <c r="G259" t="s">
        <v>65</v>
      </c>
      <c r="H259" t="s">
        <v>78</v>
      </c>
      <c r="I259" t="s">
        <v>67</v>
      </c>
      <c r="J259" s="3">
        <v>41142</v>
      </c>
      <c r="K259">
        <v>13.4</v>
      </c>
      <c r="L259">
        <v>50</v>
      </c>
      <c r="M259" s="4">
        <v>9700</v>
      </c>
      <c r="N259" s="4">
        <v>149798</v>
      </c>
      <c r="O259" t="s">
        <v>68</v>
      </c>
      <c r="P259" t="s">
        <v>69</v>
      </c>
      <c r="Q259">
        <v>3.33</v>
      </c>
      <c r="R259">
        <v>68</v>
      </c>
      <c r="S259">
        <v>27</v>
      </c>
      <c r="T259" t="s">
        <v>69</v>
      </c>
      <c r="U259">
        <v>2</v>
      </c>
      <c r="V259">
        <v>13</v>
      </c>
      <c r="W259" t="s">
        <v>70</v>
      </c>
      <c r="X259" t="s">
        <v>68</v>
      </c>
      <c r="Y259" t="s">
        <v>71</v>
      </c>
      <c r="Z259" t="s">
        <v>89</v>
      </c>
    </row>
    <row r="260" spans="1:26" x14ac:dyDescent="0.2">
      <c r="A260" t="s">
        <v>739</v>
      </c>
      <c r="B260" t="s">
        <v>740</v>
      </c>
      <c r="C260" t="s">
        <v>143</v>
      </c>
      <c r="D260" t="s">
        <v>552</v>
      </c>
      <c r="E260" t="s">
        <v>741</v>
      </c>
      <c r="F260" t="s">
        <v>77</v>
      </c>
      <c r="G260" t="s">
        <v>65</v>
      </c>
      <c r="H260" t="s">
        <v>78</v>
      </c>
      <c r="I260" t="s">
        <v>67</v>
      </c>
      <c r="J260" s="3">
        <v>43753</v>
      </c>
      <c r="K260">
        <v>6.2</v>
      </c>
      <c r="L260">
        <v>31</v>
      </c>
      <c r="M260" s="4">
        <v>11200</v>
      </c>
      <c r="N260" s="4">
        <v>159089</v>
      </c>
      <c r="O260" t="s">
        <v>68</v>
      </c>
      <c r="P260" t="s">
        <v>69</v>
      </c>
      <c r="Q260">
        <v>3.38</v>
      </c>
      <c r="R260">
        <v>56</v>
      </c>
      <c r="S260">
        <v>8</v>
      </c>
      <c r="T260" t="s">
        <v>69</v>
      </c>
      <c r="U260">
        <v>5</v>
      </c>
      <c r="V260">
        <v>19</v>
      </c>
      <c r="W260" t="s">
        <v>70</v>
      </c>
      <c r="X260" t="s">
        <v>68</v>
      </c>
      <c r="Y260" t="s">
        <v>71</v>
      </c>
      <c r="Z260" t="s">
        <v>143</v>
      </c>
    </row>
    <row r="261" spans="1:26" x14ac:dyDescent="0.2">
      <c r="A261" t="s">
        <v>742</v>
      </c>
      <c r="B261" t="s">
        <v>743</v>
      </c>
      <c r="C261" t="s">
        <v>102</v>
      </c>
      <c r="D261" t="s">
        <v>166</v>
      </c>
      <c r="E261" t="s">
        <v>170</v>
      </c>
      <c r="F261" t="s">
        <v>77</v>
      </c>
      <c r="G261" t="s">
        <v>65</v>
      </c>
      <c r="H261" t="s">
        <v>78</v>
      </c>
      <c r="I261" t="s">
        <v>93</v>
      </c>
      <c r="J261" s="3">
        <v>45893</v>
      </c>
      <c r="K261">
        <v>0.4</v>
      </c>
      <c r="L261">
        <v>44</v>
      </c>
      <c r="M261" s="4">
        <v>10500</v>
      </c>
      <c r="N261" s="4">
        <v>162423</v>
      </c>
      <c r="O261" t="s">
        <v>68</v>
      </c>
      <c r="P261" t="s">
        <v>69</v>
      </c>
      <c r="Q261">
        <v>3.03</v>
      </c>
      <c r="R261">
        <v>59</v>
      </c>
      <c r="S261">
        <v>9</v>
      </c>
      <c r="T261" t="s">
        <v>69</v>
      </c>
      <c r="U261">
        <v>8</v>
      </c>
      <c r="V261">
        <v>56</v>
      </c>
      <c r="W261" t="s">
        <v>70</v>
      </c>
      <c r="X261" t="s">
        <v>68</v>
      </c>
      <c r="Y261" t="s">
        <v>86</v>
      </c>
      <c r="Z261" t="s">
        <v>102</v>
      </c>
    </row>
    <row r="262" spans="1:26" x14ac:dyDescent="0.2">
      <c r="A262" t="s">
        <v>744</v>
      </c>
      <c r="B262" t="s">
        <v>332</v>
      </c>
      <c r="C262" t="s">
        <v>143</v>
      </c>
      <c r="D262" t="s">
        <v>552</v>
      </c>
      <c r="E262" t="s">
        <v>745</v>
      </c>
      <c r="F262" t="s">
        <v>174</v>
      </c>
      <c r="G262" t="s">
        <v>85</v>
      </c>
      <c r="H262" t="s">
        <v>78</v>
      </c>
      <c r="I262" t="s">
        <v>67</v>
      </c>
      <c r="J262" s="3">
        <v>45762</v>
      </c>
      <c r="K262">
        <v>0.7</v>
      </c>
      <c r="L262">
        <v>60</v>
      </c>
      <c r="M262" s="4">
        <v>24900</v>
      </c>
      <c r="N262" s="4">
        <v>378309</v>
      </c>
      <c r="O262" t="s">
        <v>69</v>
      </c>
      <c r="P262" t="s">
        <v>69</v>
      </c>
      <c r="Q262">
        <v>2.09</v>
      </c>
      <c r="R262">
        <v>49</v>
      </c>
      <c r="S262">
        <v>29</v>
      </c>
      <c r="T262" t="s">
        <v>69</v>
      </c>
      <c r="U262">
        <v>3</v>
      </c>
      <c r="V262">
        <v>0</v>
      </c>
      <c r="W262" t="s">
        <v>69</v>
      </c>
      <c r="X262" t="s">
        <v>68</v>
      </c>
      <c r="Y262" t="s">
        <v>71</v>
      </c>
      <c r="Z262" t="s">
        <v>143</v>
      </c>
    </row>
    <row r="263" spans="1:26" x14ac:dyDescent="0.2">
      <c r="A263" t="s">
        <v>746</v>
      </c>
      <c r="B263" t="s">
        <v>588</v>
      </c>
      <c r="C263" t="s">
        <v>108</v>
      </c>
      <c r="D263" t="s">
        <v>194</v>
      </c>
      <c r="E263" t="s">
        <v>381</v>
      </c>
      <c r="F263" t="s">
        <v>77</v>
      </c>
      <c r="G263" t="s">
        <v>227</v>
      </c>
      <c r="H263" t="s">
        <v>66</v>
      </c>
      <c r="I263" t="s">
        <v>148</v>
      </c>
      <c r="J263" s="3">
        <v>41435</v>
      </c>
      <c r="K263">
        <v>12.6</v>
      </c>
      <c r="L263">
        <v>46</v>
      </c>
      <c r="M263" s="4">
        <v>10800</v>
      </c>
      <c r="N263" s="4">
        <v>155204</v>
      </c>
      <c r="O263" t="s">
        <v>68</v>
      </c>
      <c r="P263" t="s">
        <v>69</v>
      </c>
      <c r="Q263">
        <v>2.21</v>
      </c>
      <c r="R263">
        <v>57</v>
      </c>
      <c r="S263">
        <v>20</v>
      </c>
      <c r="T263" t="s">
        <v>69</v>
      </c>
      <c r="U263">
        <v>5</v>
      </c>
      <c r="V263">
        <v>38</v>
      </c>
      <c r="W263" t="s">
        <v>70</v>
      </c>
      <c r="X263" t="s">
        <v>68</v>
      </c>
      <c r="Y263" t="s">
        <v>86</v>
      </c>
      <c r="Z263" t="s">
        <v>108</v>
      </c>
    </row>
    <row r="264" spans="1:26" x14ac:dyDescent="0.2">
      <c r="A264" t="s">
        <v>747</v>
      </c>
      <c r="B264" t="s">
        <v>551</v>
      </c>
      <c r="C264" t="s">
        <v>96</v>
      </c>
      <c r="D264" t="s">
        <v>162</v>
      </c>
      <c r="E264" t="s">
        <v>748</v>
      </c>
      <c r="F264" t="s">
        <v>64</v>
      </c>
      <c r="G264" t="s">
        <v>65</v>
      </c>
      <c r="H264" t="s">
        <v>78</v>
      </c>
      <c r="I264" t="s">
        <v>67</v>
      </c>
      <c r="J264" s="3">
        <v>43508</v>
      </c>
      <c r="K264">
        <v>6.9</v>
      </c>
      <c r="L264">
        <v>49</v>
      </c>
      <c r="M264" s="4">
        <v>6700</v>
      </c>
      <c r="N264" s="4">
        <v>108004</v>
      </c>
      <c r="O264" t="s">
        <v>68</v>
      </c>
      <c r="P264" t="s">
        <v>69</v>
      </c>
      <c r="Q264">
        <v>3.09</v>
      </c>
      <c r="R264">
        <v>59</v>
      </c>
      <c r="S264">
        <v>34</v>
      </c>
      <c r="T264" t="s">
        <v>69</v>
      </c>
      <c r="U264">
        <v>3</v>
      </c>
      <c r="V264">
        <v>13</v>
      </c>
      <c r="W264" t="s">
        <v>70</v>
      </c>
      <c r="X264" t="s">
        <v>68</v>
      </c>
      <c r="Y264" t="s">
        <v>86</v>
      </c>
      <c r="Z264" t="s">
        <v>96</v>
      </c>
    </row>
    <row r="265" spans="1:26" x14ac:dyDescent="0.2">
      <c r="A265" t="s">
        <v>749</v>
      </c>
      <c r="B265" t="s">
        <v>342</v>
      </c>
      <c r="C265" t="s">
        <v>108</v>
      </c>
      <c r="D265" t="s">
        <v>194</v>
      </c>
      <c r="E265" t="s">
        <v>195</v>
      </c>
      <c r="F265" t="s">
        <v>64</v>
      </c>
      <c r="G265" t="s">
        <v>65</v>
      </c>
      <c r="H265" t="s">
        <v>66</v>
      </c>
      <c r="I265" t="s">
        <v>99</v>
      </c>
      <c r="J265" s="3">
        <v>44104</v>
      </c>
      <c r="K265">
        <v>5.3</v>
      </c>
      <c r="L265">
        <v>35</v>
      </c>
      <c r="M265" s="4">
        <v>4400</v>
      </c>
      <c r="N265" s="4">
        <v>65838</v>
      </c>
      <c r="O265" t="s">
        <v>69</v>
      </c>
      <c r="P265" t="s">
        <v>69</v>
      </c>
      <c r="Q265">
        <v>1.68</v>
      </c>
      <c r="R265">
        <v>53</v>
      </c>
      <c r="S265">
        <v>18</v>
      </c>
      <c r="T265" t="s">
        <v>69</v>
      </c>
      <c r="U265">
        <v>0</v>
      </c>
      <c r="V265">
        <v>12</v>
      </c>
      <c r="W265" t="s">
        <v>69</v>
      </c>
      <c r="X265" t="s">
        <v>68</v>
      </c>
      <c r="Y265" t="s">
        <v>86</v>
      </c>
      <c r="Z265" t="s">
        <v>108</v>
      </c>
    </row>
    <row r="266" spans="1:26" x14ac:dyDescent="0.2">
      <c r="A266" t="s">
        <v>750</v>
      </c>
      <c r="B266" t="s">
        <v>751</v>
      </c>
      <c r="C266" t="s">
        <v>89</v>
      </c>
      <c r="D266" t="s">
        <v>230</v>
      </c>
      <c r="E266" t="s">
        <v>231</v>
      </c>
      <c r="F266" t="s">
        <v>64</v>
      </c>
      <c r="G266" t="s">
        <v>65</v>
      </c>
      <c r="H266" t="s">
        <v>66</v>
      </c>
      <c r="I266" t="s">
        <v>93</v>
      </c>
      <c r="J266" s="3">
        <v>43033</v>
      </c>
      <c r="K266">
        <v>8.1999999999999993</v>
      </c>
      <c r="L266">
        <v>31</v>
      </c>
      <c r="M266" s="4">
        <v>6400</v>
      </c>
      <c r="N266" s="4">
        <v>97075</v>
      </c>
      <c r="O266" t="s">
        <v>68</v>
      </c>
      <c r="P266" t="s">
        <v>69</v>
      </c>
      <c r="Q266">
        <v>3.56</v>
      </c>
      <c r="R266">
        <v>43</v>
      </c>
      <c r="S266">
        <v>19</v>
      </c>
      <c r="T266" t="s">
        <v>68</v>
      </c>
      <c r="U266">
        <v>3</v>
      </c>
      <c r="V266">
        <v>32</v>
      </c>
      <c r="W266" t="s">
        <v>70</v>
      </c>
      <c r="X266" t="s">
        <v>69</v>
      </c>
      <c r="Y266" t="s">
        <v>86</v>
      </c>
      <c r="Z266" t="s">
        <v>89</v>
      </c>
    </row>
    <row r="267" spans="1:26" x14ac:dyDescent="0.2">
      <c r="A267" t="s">
        <v>752</v>
      </c>
      <c r="B267" t="s">
        <v>753</v>
      </c>
      <c r="C267" t="s">
        <v>74</v>
      </c>
      <c r="D267" t="s">
        <v>75</v>
      </c>
      <c r="E267" t="s">
        <v>754</v>
      </c>
      <c r="F267" t="s">
        <v>136</v>
      </c>
      <c r="G267" t="s">
        <v>65</v>
      </c>
      <c r="H267" t="s">
        <v>66</v>
      </c>
      <c r="I267" t="s">
        <v>67</v>
      </c>
      <c r="J267" s="3">
        <v>42327</v>
      </c>
      <c r="K267">
        <v>10.1</v>
      </c>
      <c r="L267">
        <v>36</v>
      </c>
      <c r="M267" s="4">
        <v>13300</v>
      </c>
      <c r="N267" s="4">
        <v>210296</v>
      </c>
      <c r="O267" t="s">
        <v>68</v>
      </c>
      <c r="P267" t="s">
        <v>68</v>
      </c>
      <c r="Q267">
        <v>3.85</v>
      </c>
      <c r="R267">
        <v>75</v>
      </c>
      <c r="S267">
        <v>38</v>
      </c>
      <c r="T267" t="s">
        <v>69</v>
      </c>
      <c r="U267">
        <v>3</v>
      </c>
      <c r="V267">
        <v>33</v>
      </c>
      <c r="W267" t="s">
        <v>70</v>
      </c>
      <c r="X267" t="s">
        <v>69</v>
      </c>
      <c r="Y267" t="s">
        <v>71</v>
      </c>
      <c r="Z267" t="s">
        <v>74</v>
      </c>
    </row>
    <row r="268" spans="1:26" x14ac:dyDescent="0.2">
      <c r="A268" t="s">
        <v>755</v>
      </c>
      <c r="B268" t="s">
        <v>551</v>
      </c>
      <c r="C268" t="s">
        <v>96</v>
      </c>
      <c r="D268" t="s">
        <v>129</v>
      </c>
      <c r="E268" t="s">
        <v>130</v>
      </c>
      <c r="F268" t="s">
        <v>120</v>
      </c>
      <c r="G268" t="s">
        <v>85</v>
      </c>
      <c r="H268" t="s">
        <v>78</v>
      </c>
      <c r="I268" t="s">
        <v>67</v>
      </c>
      <c r="J268" s="3">
        <v>42511</v>
      </c>
      <c r="K268">
        <v>9.6</v>
      </c>
      <c r="L268">
        <v>53</v>
      </c>
      <c r="M268" s="4">
        <v>7900</v>
      </c>
      <c r="N268" s="4">
        <v>129290</v>
      </c>
      <c r="O268" t="s">
        <v>68</v>
      </c>
      <c r="P268" t="s">
        <v>69</v>
      </c>
      <c r="Q268">
        <v>3.3</v>
      </c>
      <c r="R268">
        <v>56</v>
      </c>
      <c r="S268">
        <v>10</v>
      </c>
      <c r="T268" t="s">
        <v>68</v>
      </c>
      <c r="U268">
        <v>0</v>
      </c>
      <c r="V268">
        <v>16</v>
      </c>
      <c r="W268" t="s">
        <v>70</v>
      </c>
      <c r="X268" t="s">
        <v>68</v>
      </c>
      <c r="Y268" t="s">
        <v>71</v>
      </c>
      <c r="Z268" t="s">
        <v>96</v>
      </c>
    </row>
    <row r="269" spans="1:26" x14ac:dyDescent="0.2">
      <c r="A269" t="s">
        <v>756</v>
      </c>
      <c r="B269" t="s">
        <v>757</v>
      </c>
      <c r="C269" t="s">
        <v>89</v>
      </c>
      <c r="D269" t="s">
        <v>230</v>
      </c>
      <c r="E269" t="s">
        <v>505</v>
      </c>
      <c r="F269" t="s">
        <v>77</v>
      </c>
      <c r="G269" t="s">
        <v>85</v>
      </c>
      <c r="H269" t="s">
        <v>78</v>
      </c>
      <c r="I269" t="s">
        <v>115</v>
      </c>
      <c r="J269" s="3">
        <v>41215</v>
      </c>
      <c r="K269">
        <v>13.2</v>
      </c>
      <c r="L269">
        <v>33</v>
      </c>
      <c r="M269" s="4">
        <v>9000</v>
      </c>
      <c r="N269" s="4">
        <v>133384</v>
      </c>
      <c r="O269" t="s">
        <v>68</v>
      </c>
      <c r="P269" t="s">
        <v>69</v>
      </c>
      <c r="Q269">
        <v>2.38</v>
      </c>
      <c r="R269">
        <v>68</v>
      </c>
      <c r="S269">
        <v>29</v>
      </c>
      <c r="T269" t="s">
        <v>68</v>
      </c>
      <c r="U269">
        <v>3</v>
      </c>
      <c r="V269">
        <v>35</v>
      </c>
      <c r="W269" t="s">
        <v>70</v>
      </c>
      <c r="X269" t="s">
        <v>68</v>
      </c>
      <c r="Y269" t="s">
        <v>71</v>
      </c>
      <c r="Z269" t="s">
        <v>89</v>
      </c>
    </row>
    <row r="270" spans="1:26" x14ac:dyDescent="0.2">
      <c r="A270" t="s">
        <v>758</v>
      </c>
      <c r="B270" t="s">
        <v>759</v>
      </c>
      <c r="C270" t="s">
        <v>74</v>
      </c>
      <c r="D270" t="s">
        <v>75</v>
      </c>
      <c r="E270" t="s">
        <v>754</v>
      </c>
      <c r="F270" t="s">
        <v>136</v>
      </c>
      <c r="G270" t="s">
        <v>65</v>
      </c>
      <c r="H270" t="s">
        <v>78</v>
      </c>
      <c r="I270" t="s">
        <v>121</v>
      </c>
      <c r="J270" s="3">
        <v>44186</v>
      </c>
      <c r="K270">
        <v>5</v>
      </c>
      <c r="L270">
        <v>23</v>
      </c>
      <c r="M270" s="4">
        <v>13900</v>
      </c>
      <c r="N270" s="4">
        <v>207563</v>
      </c>
      <c r="O270" t="s">
        <v>68</v>
      </c>
      <c r="P270" t="s">
        <v>69</v>
      </c>
      <c r="Q270">
        <v>3.02</v>
      </c>
      <c r="R270">
        <v>73</v>
      </c>
      <c r="S270">
        <v>23</v>
      </c>
      <c r="T270" t="s">
        <v>69</v>
      </c>
      <c r="U270">
        <v>2</v>
      </c>
      <c r="V270">
        <v>19</v>
      </c>
      <c r="W270" t="s">
        <v>70</v>
      </c>
      <c r="X270" t="s">
        <v>68</v>
      </c>
      <c r="Y270" t="s">
        <v>71</v>
      </c>
      <c r="Z270" t="s">
        <v>74</v>
      </c>
    </row>
    <row r="271" spans="1:26" x14ac:dyDescent="0.2">
      <c r="A271" t="s">
        <v>760</v>
      </c>
      <c r="B271" t="s">
        <v>482</v>
      </c>
      <c r="C271" t="s">
        <v>74</v>
      </c>
      <c r="D271" t="s">
        <v>139</v>
      </c>
      <c r="E271" t="s">
        <v>761</v>
      </c>
      <c r="F271" t="s">
        <v>136</v>
      </c>
      <c r="G271" t="s">
        <v>215</v>
      </c>
      <c r="H271" t="s">
        <v>66</v>
      </c>
      <c r="I271" t="s">
        <v>121</v>
      </c>
      <c r="J271" s="3">
        <v>42727</v>
      </c>
      <c r="K271">
        <v>9</v>
      </c>
      <c r="L271">
        <v>28</v>
      </c>
      <c r="M271" s="4">
        <v>13700</v>
      </c>
      <c r="N271" s="4">
        <v>200029</v>
      </c>
      <c r="O271" t="s">
        <v>68</v>
      </c>
      <c r="P271" t="s">
        <v>68</v>
      </c>
      <c r="Q271">
        <v>3.8</v>
      </c>
      <c r="R271">
        <v>74</v>
      </c>
      <c r="S271">
        <v>12</v>
      </c>
      <c r="T271" t="s">
        <v>69</v>
      </c>
      <c r="U271">
        <v>5</v>
      </c>
      <c r="V271">
        <v>21</v>
      </c>
      <c r="W271" t="s">
        <v>70</v>
      </c>
      <c r="X271" t="s">
        <v>69</v>
      </c>
      <c r="Y271" t="s">
        <v>71</v>
      </c>
      <c r="Z271" t="s">
        <v>74</v>
      </c>
    </row>
    <row r="272" spans="1:26" x14ac:dyDescent="0.2">
      <c r="A272" t="s">
        <v>762</v>
      </c>
      <c r="B272" t="s">
        <v>646</v>
      </c>
      <c r="C272" t="s">
        <v>61</v>
      </c>
      <c r="D272" t="s">
        <v>62</v>
      </c>
      <c r="E272" t="s">
        <v>702</v>
      </c>
      <c r="F272" t="s">
        <v>120</v>
      </c>
      <c r="G272" t="s">
        <v>65</v>
      </c>
      <c r="H272" t="s">
        <v>78</v>
      </c>
      <c r="I272" t="s">
        <v>111</v>
      </c>
      <c r="J272" s="3">
        <v>43435</v>
      </c>
      <c r="K272">
        <v>7.1</v>
      </c>
      <c r="L272">
        <v>40</v>
      </c>
      <c r="M272" s="4">
        <v>7500</v>
      </c>
      <c r="N272" s="4">
        <v>113906</v>
      </c>
      <c r="O272" t="s">
        <v>68</v>
      </c>
      <c r="P272" t="s">
        <v>69</v>
      </c>
      <c r="Q272">
        <v>3.14</v>
      </c>
      <c r="R272">
        <v>78</v>
      </c>
      <c r="S272">
        <v>30</v>
      </c>
      <c r="T272" t="s">
        <v>69</v>
      </c>
      <c r="U272">
        <v>6</v>
      </c>
      <c r="V272">
        <v>2</v>
      </c>
      <c r="W272" t="s">
        <v>70</v>
      </c>
      <c r="X272" t="s">
        <v>68</v>
      </c>
      <c r="Y272" t="s">
        <v>71</v>
      </c>
      <c r="Z272" t="s">
        <v>61</v>
      </c>
    </row>
    <row r="273" spans="1:26" x14ac:dyDescent="0.2">
      <c r="A273" t="s">
        <v>763</v>
      </c>
      <c r="B273" t="s">
        <v>764</v>
      </c>
      <c r="C273" t="s">
        <v>102</v>
      </c>
      <c r="D273" t="s">
        <v>103</v>
      </c>
      <c r="E273" t="s">
        <v>458</v>
      </c>
      <c r="F273" t="s">
        <v>77</v>
      </c>
      <c r="G273" t="s">
        <v>65</v>
      </c>
      <c r="H273" t="s">
        <v>66</v>
      </c>
      <c r="I273" t="s">
        <v>99</v>
      </c>
      <c r="J273" s="3">
        <v>45075</v>
      </c>
      <c r="K273">
        <v>2.6</v>
      </c>
      <c r="L273">
        <v>27</v>
      </c>
      <c r="M273" s="4">
        <v>11400</v>
      </c>
      <c r="N273" s="4">
        <v>175272</v>
      </c>
      <c r="O273" t="s">
        <v>68</v>
      </c>
      <c r="P273" t="s">
        <v>69</v>
      </c>
      <c r="Q273">
        <v>3.56</v>
      </c>
      <c r="R273">
        <v>72</v>
      </c>
      <c r="S273">
        <v>37</v>
      </c>
      <c r="T273" t="s">
        <v>69</v>
      </c>
      <c r="U273">
        <v>7</v>
      </c>
      <c r="V273">
        <v>0</v>
      </c>
      <c r="W273" t="s">
        <v>70</v>
      </c>
      <c r="X273" t="s">
        <v>69</v>
      </c>
      <c r="Y273" t="s">
        <v>71</v>
      </c>
      <c r="Z273" t="s">
        <v>102</v>
      </c>
    </row>
    <row r="274" spans="1:26" x14ac:dyDescent="0.2">
      <c r="A274" t="s">
        <v>765</v>
      </c>
      <c r="B274" t="s">
        <v>766</v>
      </c>
      <c r="C274" t="s">
        <v>96</v>
      </c>
      <c r="D274" t="s">
        <v>97</v>
      </c>
      <c r="E274" t="s">
        <v>767</v>
      </c>
      <c r="F274" t="s">
        <v>174</v>
      </c>
      <c r="G274" t="s">
        <v>65</v>
      </c>
      <c r="H274" t="s">
        <v>78</v>
      </c>
      <c r="I274" t="s">
        <v>111</v>
      </c>
      <c r="J274" s="3">
        <v>42803</v>
      </c>
      <c r="K274">
        <v>8.8000000000000007</v>
      </c>
      <c r="L274">
        <v>34</v>
      </c>
      <c r="M274" s="4">
        <v>19700</v>
      </c>
      <c r="N274" s="4">
        <v>311313</v>
      </c>
      <c r="O274" t="s">
        <v>69</v>
      </c>
      <c r="P274" t="s">
        <v>69</v>
      </c>
      <c r="Q274">
        <v>2.61</v>
      </c>
      <c r="R274">
        <v>53</v>
      </c>
      <c r="S274">
        <v>42</v>
      </c>
      <c r="T274" t="s">
        <v>69</v>
      </c>
      <c r="U274">
        <v>4</v>
      </c>
      <c r="V274">
        <v>34</v>
      </c>
      <c r="W274" t="s">
        <v>68</v>
      </c>
      <c r="X274" t="s">
        <v>68</v>
      </c>
      <c r="Y274" t="s">
        <v>86</v>
      </c>
      <c r="Z274" t="s">
        <v>96</v>
      </c>
    </row>
    <row r="275" spans="1:26" x14ac:dyDescent="0.2">
      <c r="A275" t="s">
        <v>768</v>
      </c>
      <c r="B275" t="s">
        <v>347</v>
      </c>
      <c r="C275" t="s">
        <v>96</v>
      </c>
      <c r="D275" t="s">
        <v>234</v>
      </c>
      <c r="E275" t="s">
        <v>247</v>
      </c>
      <c r="F275" t="s">
        <v>92</v>
      </c>
      <c r="G275" t="s">
        <v>85</v>
      </c>
      <c r="H275" t="s">
        <v>78</v>
      </c>
      <c r="I275" t="s">
        <v>67</v>
      </c>
      <c r="J275" s="3">
        <v>41939</v>
      </c>
      <c r="K275">
        <v>11.2</v>
      </c>
      <c r="L275">
        <v>27</v>
      </c>
      <c r="M275" s="4">
        <v>4800</v>
      </c>
      <c r="N275" s="4">
        <v>69604</v>
      </c>
      <c r="O275" t="s">
        <v>68</v>
      </c>
      <c r="P275" t="s">
        <v>69</v>
      </c>
      <c r="Q275">
        <v>2.89</v>
      </c>
      <c r="R275">
        <v>55</v>
      </c>
      <c r="S275">
        <v>29</v>
      </c>
      <c r="T275" t="s">
        <v>69</v>
      </c>
      <c r="U275">
        <v>8</v>
      </c>
      <c r="V275">
        <v>0</v>
      </c>
      <c r="W275" t="s">
        <v>70</v>
      </c>
      <c r="X275" t="s">
        <v>68</v>
      </c>
      <c r="Y275" t="s">
        <v>86</v>
      </c>
      <c r="Z275" t="s">
        <v>96</v>
      </c>
    </row>
    <row r="276" spans="1:26" x14ac:dyDescent="0.2">
      <c r="A276" t="s">
        <v>769</v>
      </c>
      <c r="B276" t="s">
        <v>770</v>
      </c>
      <c r="C276" t="s">
        <v>89</v>
      </c>
      <c r="D276" t="s">
        <v>239</v>
      </c>
      <c r="E276" t="s">
        <v>580</v>
      </c>
      <c r="F276" t="s">
        <v>77</v>
      </c>
      <c r="G276" t="s">
        <v>85</v>
      </c>
      <c r="H276" t="s">
        <v>78</v>
      </c>
      <c r="I276" t="s">
        <v>67</v>
      </c>
      <c r="J276" s="3">
        <v>41295</v>
      </c>
      <c r="K276">
        <v>13</v>
      </c>
      <c r="L276">
        <v>37</v>
      </c>
      <c r="M276" s="4">
        <v>8300</v>
      </c>
      <c r="N276" s="4">
        <v>133359</v>
      </c>
      <c r="O276" t="s">
        <v>68</v>
      </c>
      <c r="P276" t="s">
        <v>69</v>
      </c>
      <c r="Q276">
        <v>2.86</v>
      </c>
      <c r="R276">
        <v>42</v>
      </c>
      <c r="S276">
        <v>8</v>
      </c>
      <c r="T276" t="s">
        <v>68</v>
      </c>
      <c r="U276">
        <v>1</v>
      </c>
      <c r="V276">
        <v>16</v>
      </c>
      <c r="W276" t="s">
        <v>70</v>
      </c>
      <c r="X276" t="s">
        <v>68</v>
      </c>
      <c r="Y276" t="s">
        <v>86</v>
      </c>
      <c r="Z276" t="s">
        <v>89</v>
      </c>
    </row>
    <row r="277" spans="1:26" x14ac:dyDescent="0.2">
      <c r="A277" t="s">
        <v>771</v>
      </c>
      <c r="B277" t="s">
        <v>569</v>
      </c>
      <c r="C277" t="s">
        <v>133</v>
      </c>
      <c r="D277" t="s">
        <v>134</v>
      </c>
      <c r="E277" t="s">
        <v>772</v>
      </c>
      <c r="F277" t="s">
        <v>174</v>
      </c>
      <c r="G277" t="s">
        <v>65</v>
      </c>
      <c r="H277" t="s">
        <v>78</v>
      </c>
      <c r="I277" t="s">
        <v>111</v>
      </c>
      <c r="J277" s="3">
        <v>45562</v>
      </c>
      <c r="K277">
        <v>1.3</v>
      </c>
      <c r="L277">
        <v>26</v>
      </c>
      <c r="M277" s="4">
        <v>33400</v>
      </c>
      <c r="N277" s="4">
        <v>549247</v>
      </c>
      <c r="O277" t="s">
        <v>69</v>
      </c>
      <c r="P277" t="s">
        <v>68</v>
      </c>
      <c r="Q277">
        <v>2.89</v>
      </c>
      <c r="R277">
        <v>59</v>
      </c>
      <c r="S277">
        <v>20</v>
      </c>
      <c r="T277" t="s">
        <v>69</v>
      </c>
      <c r="U277">
        <v>0</v>
      </c>
      <c r="V277">
        <v>23</v>
      </c>
      <c r="W277" t="s">
        <v>68</v>
      </c>
      <c r="X277" t="s">
        <v>68</v>
      </c>
      <c r="Y277" t="s">
        <v>71</v>
      </c>
      <c r="Z277" t="s">
        <v>133</v>
      </c>
    </row>
    <row r="278" spans="1:26" x14ac:dyDescent="0.2">
      <c r="A278" t="s">
        <v>773</v>
      </c>
      <c r="B278" t="s">
        <v>246</v>
      </c>
      <c r="C278" t="s">
        <v>102</v>
      </c>
      <c r="D278" t="s">
        <v>183</v>
      </c>
      <c r="E278" t="s">
        <v>415</v>
      </c>
      <c r="F278" t="s">
        <v>77</v>
      </c>
      <c r="G278" t="s">
        <v>65</v>
      </c>
      <c r="H278" t="s">
        <v>78</v>
      </c>
      <c r="I278" t="s">
        <v>99</v>
      </c>
      <c r="J278" s="3">
        <v>41703</v>
      </c>
      <c r="K278">
        <v>11.8</v>
      </c>
      <c r="L278">
        <v>56</v>
      </c>
      <c r="M278" s="4">
        <v>9600</v>
      </c>
      <c r="N278" s="4">
        <v>136346</v>
      </c>
      <c r="O278" t="s">
        <v>68</v>
      </c>
      <c r="P278" t="s">
        <v>69</v>
      </c>
      <c r="Q278">
        <v>2.7</v>
      </c>
      <c r="R278">
        <v>80</v>
      </c>
      <c r="S278">
        <v>23</v>
      </c>
      <c r="T278" t="s">
        <v>69</v>
      </c>
      <c r="U278">
        <v>6</v>
      </c>
      <c r="V278">
        <v>46</v>
      </c>
      <c r="W278" t="s">
        <v>70</v>
      </c>
      <c r="X278" t="s">
        <v>68</v>
      </c>
      <c r="Y278" t="s">
        <v>71</v>
      </c>
      <c r="Z278" t="s">
        <v>102</v>
      </c>
    </row>
    <row r="279" spans="1:26" x14ac:dyDescent="0.2">
      <c r="A279" t="s">
        <v>774</v>
      </c>
      <c r="B279" t="s">
        <v>775</v>
      </c>
      <c r="C279" t="s">
        <v>61</v>
      </c>
      <c r="D279" t="s">
        <v>177</v>
      </c>
      <c r="E279" t="s">
        <v>776</v>
      </c>
      <c r="F279" t="s">
        <v>136</v>
      </c>
      <c r="G279" t="s">
        <v>65</v>
      </c>
      <c r="H279" t="s">
        <v>66</v>
      </c>
      <c r="I279" t="s">
        <v>148</v>
      </c>
      <c r="J279" s="3">
        <v>43437</v>
      </c>
      <c r="K279">
        <v>7.1</v>
      </c>
      <c r="L279">
        <v>42</v>
      </c>
      <c r="M279" s="4">
        <v>12400</v>
      </c>
      <c r="N279" s="4">
        <v>202526</v>
      </c>
      <c r="O279" t="s">
        <v>68</v>
      </c>
      <c r="P279" t="s">
        <v>68</v>
      </c>
      <c r="Q279">
        <v>3.11</v>
      </c>
      <c r="R279">
        <v>66</v>
      </c>
      <c r="S279">
        <v>33</v>
      </c>
      <c r="T279" t="s">
        <v>69</v>
      </c>
      <c r="U279">
        <v>7</v>
      </c>
      <c r="V279">
        <v>3</v>
      </c>
      <c r="W279" t="s">
        <v>70</v>
      </c>
      <c r="X279" t="s">
        <v>68</v>
      </c>
      <c r="Y279" t="s">
        <v>71</v>
      </c>
      <c r="Z279" t="s">
        <v>61</v>
      </c>
    </row>
    <row r="280" spans="1:26" x14ac:dyDescent="0.2">
      <c r="A280" t="s">
        <v>777</v>
      </c>
      <c r="B280" t="s">
        <v>186</v>
      </c>
      <c r="C280" t="s">
        <v>143</v>
      </c>
      <c r="D280" t="s">
        <v>207</v>
      </c>
      <c r="E280" t="s">
        <v>208</v>
      </c>
      <c r="F280" t="s">
        <v>64</v>
      </c>
      <c r="G280" t="s">
        <v>65</v>
      </c>
      <c r="H280" t="s">
        <v>66</v>
      </c>
      <c r="I280" t="s">
        <v>111</v>
      </c>
      <c r="J280" s="3">
        <v>45049</v>
      </c>
      <c r="K280">
        <v>2.7</v>
      </c>
      <c r="L280">
        <v>40</v>
      </c>
      <c r="M280" s="4">
        <v>6900</v>
      </c>
      <c r="N280" s="4">
        <v>111122</v>
      </c>
      <c r="O280" t="s">
        <v>68</v>
      </c>
      <c r="P280" t="s">
        <v>69</v>
      </c>
      <c r="Q280">
        <v>2.35</v>
      </c>
      <c r="R280">
        <v>45</v>
      </c>
      <c r="S280">
        <v>54</v>
      </c>
      <c r="T280" t="s">
        <v>69</v>
      </c>
      <c r="U280">
        <v>3</v>
      </c>
      <c r="V280">
        <v>25</v>
      </c>
      <c r="W280" t="s">
        <v>70</v>
      </c>
      <c r="X280" t="s">
        <v>68</v>
      </c>
      <c r="Y280" t="s">
        <v>86</v>
      </c>
      <c r="Z280" t="s">
        <v>143</v>
      </c>
    </row>
    <row r="281" spans="1:26" x14ac:dyDescent="0.2">
      <c r="A281" t="s">
        <v>778</v>
      </c>
      <c r="B281" t="s">
        <v>779</v>
      </c>
      <c r="C281" t="s">
        <v>124</v>
      </c>
      <c r="D281" t="s">
        <v>465</v>
      </c>
      <c r="E281" t="s">
        <v>780</v>
      </c>
      <c r="F281" t="s">
        <v>92</v>
      </c>
      <c r="G281" t="s">
        <v>65</v>
      </c>
      <c r="H281" t="s">
        <v>78</v>
      </c>
      <c r="I281" t="s">
        <v>236</v>
      </c>
      <c r="J281" s="3">
        <v>42961</v>
      </c>
      <c r="K281">
        <v>8.4</v>
      </c>
      <c r="L281">
        <v>54</v>
      </c>
      <c r="M281" s="4">
        <v>4000</v>
      </c>
      <c r="N281" s="4">
        <v>64313</v>
      </c>
      <c r="O281" t="s">
        <v>68</v>
      </c>
      <c r="P281" t="s">
        <v>68</v>
      </c>
      <c r="Q281">
        <v>3.4</v>
      </c>
      <c r="R281">
        <v>67</v>
      </c>
      <c r="S281">
        <v>11</v>
      </c>
      <c r="T281" t="s">
        <v>69</v>
      </c>
      <c r="U281">
        <v>7</v>
      </c>
      <c r="V281">
        <v>19</v>
      </c>
      <c r="W281" t="s">
        <v>70</v>
      </c>
      <c r="X281" t="s">
        <v>68</v>
      </c>
      <c r="Y281" t="s">
        <v>71</v>
      </c>
      <c r="Z281" t="s">
        <v>124</v>
      </c>
    </row>
    <row r="282" spans="1:26" x14ac:dyDescent="0.2">
      <c r="A282" t="s">
        <v>781</v>
      </c>
      <c r="B282" t="s">
        <v>374</v>
      </c>
      <c r="C282" t="s">
        <v>61</v>
      </c>
      <c r="D282" t="s">
        <v>218</v>
      </c>
      <c r="E282" t="s">
        <v>219</v>
      </c>
      <c r="F282" t="s">
        <v>64</v>
      </c>
      <c r="G282" t="s">
        <v>65</v>
      </c>
      <c r="H282" t="s">
        <v>78</v>
      </c>
      <c r="I282" t="s">
        <v>93</v>
      </c>
      <c r="J282" s="3">
        <v>45681</v>
      </c>
      <c r="K282">
        <v>0.9</v>
      </c>
      <c r="L282">
        <v>44</v>
      </c>
      <c r="M282" s="4">
        <v>7300</v>
      </c>
      <c r="N282" s="4">
        <v>118125</v>
      </c>
      <c r="O282" t="s">
        <v>68</v>
      </c>
      <c r="P282" t="s">
        <v>68</v>
      </c>
      <c r="Q282">
        <v>3.72</v>
      </c>
      <c r="R282">
        <v>75</v>
      </c>
      <c r="S282">
        <v>17</v>
      </c>
      <c r="T282" t="s">
        <v>69</v>
      </c>
      <c r="U282">
        <v>9</v>
      </c>
      <c r="V282">
        <v>0</v>
      </c>
      <c r="W282" t="s">
        <v>70</v>
      </c>
      <c r="X282" t="s">
        <v>69</v>
      </c>
      <c r="Y282" t="s">
        <v>71</v>
      </c>
      <c r="Z282" t="s">
        <v>61</v>
      </c>
    </row>
    <row r="283" spans="1:26" x14ac:dyDescent="0.2">
      <c r="A283" t="s">
        <v>782</v>
      </c>
      <c r="B283" t="s">
        <v>783</v>
      </c>
      <c r="C283" t="s">
        <v>74</v>
      </c>
      <c r="D283" t="s">
        <v>75</v>
      </c>
      <c r="E283" t="s">
        <v>410</v>
      </c>
      <c r="F283" t="s">
        <v>92</v>
      </c>
      <c r="G283" t="s">
        <v>65</v>
      </c>
      <c r="H283" t="s">
        <v>78</v>
      </c>
      <c r="I283" t="s">
        <v>67</v>
      </c>
      <c r="J283" s="3">
        <v>41311</v>
      </c>
      <c r="K283">
        <v>12.9</v>
      </c>
      <c r="L283">
        <v>50</v>
      </c>
      <c r="M283" s="4">
        <v>3800</v>
      </c>
      <c r="N283" s="4">
        <v>61683</v>
      </c>
      <c r="O283" t="s">
        <v>68</v>
      </c>
      <c r="P283" t="s">
        <v>69</v>
      </c>
      <c r="Q283">
        <v>3.45</v>
      </c>
      <c r="R283">
        <v>81</v>
      </c>
      <c r="S283">
        <v>33</v>
      </c>
      <c r="T283" t="s">
        <v>69</v>
      </c>
      <c r="U283">
        <v>7</v>
      </c>
      <c r="V283">
        <v>6</v>
      </c>
      <c r="W283" t="s">
        <v>70</v>
      </c>
      <c r="X283" t="s">
        <v>68</v>
      </c>
      <c r="Y283" t="s">
        <v>71</v>
      </c>
      <c r="Z283" t="s">
        <v>74</v>
      </c>
    </row>
    <row r="284" spans="1:26" x14ac:dyDescent="0.2">
      <c r="A284" t="s">
        <v>784</v>
      </c>
      <c r="B284" t="s">
        <v>785</v>
      </c>
      <c r="C284" t="s">
        <v>143</v>
      </c>
      <c r="D284" t="s">
        <v>207</v>
      </c>
      <c r="E284" t="s">
        <v>208</v>
      </c>
      <c r="F284" t="s">
        <v>64</v>
      </c>
      <c r="G284" t="s">
        <v>65</v>
      </c>
      <c r="H284" t="s">
        <v>78</v>
      </c>
      <c r="I284" t="s">
        <v>148</v>
      </c>
      <c r="J284" s="3">
        <v>45822</v>
      </c>
      <c r="K284">
        <v>0.6</v>
      </c>
      <c r="L284">
        <v>41</v>
      </c>
      <c r="M284" s="4">
        <v>5900</v>
      </c>
      <c r="N284" s="4">
        <v>93328</v>
      </c>
      <c r="O284" t="s">
        <v>68</v>
      </c>
      <c r="P284" t="s">
        <v>69</v>
      </c>
      <c r="Q284">
        <v>3.76</v>
      </c>
      <c r="R284">
        <v>74</v>
      </c>
      <c r="S284">
        <v>40</v>
      </c>
      <c r="T284" t="s">
        <v>69</v>
      </c>
      <c r="U284">
        <v>5</v>
      </c>
      <c r="V284">
        <v>23</v>
      </c>
      <c r="W284" t="s">
        <v>70</v>
      </c>
      <c r="X284" t="s">
        <v>69</v>
      </c>
      <c r="Y284" t="s">
        <v>71</v>
      </c>
      <c r="Z284" t="s">
        <v>143</v>
      </c>
    </row>
    <row r="285" spans="1:26" x14ac:dyDescent="0.2">
      <c r="A285" t="s">
        <v>786</v>
      </c>
      <c r="B285" t="s">
        <v>509</v>
      </c>
      <c r="C285" t="s">
        <v>143</v>
      </c>
      <c r="D285" t="s">
        <v>144</v>
      </c>
      <c r="E285" t="s">
        <v>787</v>
      </c>
      <c r="F285" t="s">
        <v>136</v>
      </c>
      <c r="G285" t="s">
        <v>65</v>
      </c>
      <c r="H285" t="s">
        <v>66</v>
      </c>
      <c r="I285" t="s">
        <v>67</v>
      </c>
      <c r="J285" s="3">
        <v>43491</v>
      </c>
      <c r="K285">
        <v>6.9</v>
      </c>
      <c r="L285">
        <v>54</v>
      </c>
      <c r="M285" s="4">
        <v>17400</v>
      </c>
      <c r="N285" s="4">
        <v>282396</v>
      </c>
      <c r="O285" t="s">
        <v>68</v>
      </c>
      <c r="P285" t="s">
        <v>69</v>
      </c>
      <c r="Q285">
        <v>3.3</v>
      </c>
      <c r="R285">
        <v>50</v>
      </c>
      <c r="S285">
        <v>35</v>
      </c>
      <c r="T285" t="s">
        <v>69</v>
      </c>
      <c r="U285">
        <v>4</v>
      </c>
      <c r="V285">
        <v>11</v>
      </c>
      <c r="W285" t="s">
        <v>70</v>
      </c>
      <c r="X285" t="s">
        <v>68</v>
      </c>
      <c r="Y285" t="s">
        <v>86</v>
      </c>
      <c r="Z285" t="s">
        <v>143</v>
      </c>
    </row>
    <row r="286" spans="1:26" x14ac:dyDescent="0.2">
      <c r="A286" t="s">
        <v>788</v>
      </c>
      <c r="B286" t="s">
        <v>377</v>
      </c>
      <c r="C286" t="s">
        <v>89</v>
      </c>
      <c r="D286" t="s">
        <v>239</v>
      </c>
      <c r="E286" t="s">
        <v>384</v>
      </c>
      <c r="F286" t="s">
        <v>136</v>
      </c>
      <c r="G286" t="s">
        <v>227</v>
      </c>
      <c r="H286" t="s">
        <v>66</v>
      </c>
      <c r="I286" t="s">
        <v>99</v>
      </c>
      <c r="J286" s="3">
        <v>43416</v>
      </c>
      <c r="K286">
        <v>7.1</v>
      </c>
      <c r="L286">
        <v>57</v>
      </c>
      <c r="M286" s="4">
        <v>17100</v>
      </c>
      <c r="N286" s="4">
        <v>277909</v>
      </c>
      <c r="O286" t="s">
        <v>68</v>
      </c>
      <c r="P286" t="s">
        <v>69</v>
      </c>
      <c r="Q286">
        <v>3.33</v>
      </c>
      <c r="R286">
        <v>67</v>
      </c>
      <c r="S286">
        <v>34</v>
      </c>
      <c r="T286" t="s">
        <v>69</v>
      </c>
      <c r="U286">
        <v>1</v>
      </c>
      <c r="V286">
        <v>31</v>
      </c>
      <c r="W286" t="s">
        <v>70</v>
      </c>
      <c r="X286" t="s">
        <v>68</v>
      </c>
      <c r="Y286" t="s">
        <v>71</v>
      </c>
      <c r="Z286" t="s">
        <v>89</v>
      </c>
    </row>
    <row r="287" spans="1:26" x14ac:dyDescent="0.2">
      <c r="A287" t="s">
        <v>789</v>
      </c>
      <c r="B287" t="s">
        <v>476</v>
      </c>
      <c r="C287" t="s">
        <v>74</v>
      </c>
      <c r="D287" t="s">
        <v>118</v>
      </c>
      <c r="E287" t="s">
        <v>511</v>
      </c>
      <c r="F287" t="s">
        <v>77</v>
      </c>
      <c r="G287" t="s">
        <v>65</v>
      </c>
      <c r="H287" t="s">
        <v>66</v>
      </c>
      <c r="I287" t="s">
        <v>67</v>
      </c>
      <c r="J287" s="3">
        <v>43646</v>
      </c>
      <c r="K287">
        <v>6.5</v>
      </c>
      <c r="L287">
        <v>48</v>
      </c>
      <c r="M287" s="4">
        <v>12500</v>
      </c>
      <c r="N287" s="4">
        <v>192883</v>
      </c>
      <c r="O287" t="s">
        <v>68</v>
      </c>
      <c r="P287" t="s">
        <v>68</v>
      </c>
      <c r="Q287">
        <v>3.35</v>
      </c>
      <c r="R287">
        <v>55</v>
      </c>
      <c r="S287">
        <v>37</v>
      </c>
      <c r="T287" t="s">
        <v>69</v>
      </c>
      <c r="U287">
        <v>9</v>
      </c>
      <c r="V287">
        <v>55</v>
      </c>
      <c r="W287" t="s">
        <v>70</v>
      </c>
      <c r="X287" t="s">
        <v>68</v>
      </c>
      <c r="Y287" t="s">
        <v>86</v>
      </c>
      <c r="Z287" t="s">
        <v>74</v>
      </c>
    </row>
    <row r="288" spans="1:26" x14ac:dyDescent="0.2">
      <c r="A288" t="s">
        <v>790</v>
      </c>
      <c r="B288" t="s">
        <v>791</v>
      </c>
      <c r="C288" t="s">
        <v>61</v>
      </c>
      <c r="D288" t="s">
        <v>604</v>
      </c>
      <c r="E288" t="s">
        <v>792</v>
      </c>
      <c r="F288" t="s">
        <v>120</v>
      </c>
      <c r="G288" t="s">
        <v>65</v>
      </c>
      <c r="H288" t="s">
        <v>66</v>
      </c>
      <c r="I288" t="s">
        <v>148</v>
      </c>
      <c r="J288" s="3">
        <v>42731</v>
      </c>
      <c r="K288">
        <v>9</v>
      </c>
      <c r="L288">
        <v>39</v>
      </c>
      <c r="M288" s="4">
        <v>7900</v>
      </c>
      <c r="N288" s="4">
        <v>116313</v>
      </c>
      <c r="O288" t="s">
        <v>68</v>
      </c>
      <c r="P288" t="s">
        <v>68</v>
      </c>
      <c r="Q288">
        <v>3.7</v>
      </c>
      <c r="R288">
        <v>53</v>
      </c>
      <c r="S288">
        <v>15</v>
      </c>
      <c r="T288" t="s">
        <v>69</v>
      </c>
      <c r="U288">
        <v>3</v>
      </c>
      <c r="V288">
        <v>23</v>
      </c>
      <c r="W288" t="s">
        <v>70</v>
      </c>
      <c r="X288" t="s">
        <v>69</v>
      </c>
      <c r="Y288" t="s">
        <v>86</v>
      </c>
      <c r="Z288" t="s">
        <v>61</v>
      </c>
    </row>
    <row r="289" spans="1:26" x14ac:dyDescent="0.2">
      <c r="A289" t="s">
        <v>793</v>
      </c>
      <c r="B289" t="s">
        <v>794</v>
      </c>
      <c r="C289" t="s">
        <v>102</v>
      </c>
      <c r="D289" t="s">
        <v>166</v>
      </c>
      <c r="E289" t="s">
        <v>686</v>
      </c>
      <c r="F289" t="s">
        <v>64</v>
      </c>
      <c r="G289" t="s">
        <v>65</v>
      </c>
      <c r="H289" t="s">
        <v>66</v>
      </c>
      <c r="I289" t="s">
        <v>67</v>
      </c>
      <c r="J289" s="3">
        <v>44691</v>
      </c>
      <c r="K289">
        <v>3.6</v>
      </c>
      <c r="L289">
        <v>27</v>
      </c>
      <c r="M289" s="4">
        <v>7200</v>
      </c>
      <c r="N289" s="4">
        <v>112026</v>
      </c>
      <c r="O289" t="s">
        <v>68</v>
      </c>
      <c r="P289" t="s">
        <v>69</v>
      </c>
      <c r="Q289">
        <v>2.81</v>
      </c>
      <c r="R289">
        <v>64</v>
      </c>
      <c r="S289">
        <v>21</v>
      </c>
      <c r="T289" t="s">
        <v>69</v>
      </c>
      <c r="U289">
        <v>7</v>
      </c>
      <c r="V289">
        <v>12</v>
      </c>
      <c r="W289" t="s">
        <v>70</v>
      </c>
      <c r="X289" t="s">
        <v>68</v>
      </c>
      <c r="Y289" t="s">
        <v>71</v>
      </c>
      <c r="Z289" t="s">
        <v>102</v>
      </c>
    </row>
    <row r="290" spans="1:26" x14ac:dyDescent="0.2">
      <c r="A290" t="s">
        <v>795</v>
      </c>
      <c r="B290" t="s">
        <v>525</v>
      </c>
      <c r="C290" t="s">
        <v>143</v>
      </c>
      <c r="D290" t="s">
        <v>207</v>
      </c>
      <c r="E290" t="s">
        <v>796</v>
      </c>
      <c r="F290" t="s">
        <v>84</v>
      </c>
      <c r="G290" t="s">
        <v>65</v>
      </c>
      <c r="H290" t="s">
        <v>78</v>
      </c>
      <c r="I290" t="s">
        <v>99</v>
      </c>
      <c r="J290" s="3">
        <v>43384</v>
      </c>
      <c r="K290">
        <v>7.2</v>
      </c>
      <c r="L290">
        <v>29</v>
      </c>
      <c r="M290" s="4">
        <v>23600</v>
      </c>
      <c r="N290" s="4">
        <v>335495</v>
      </c>
      <c r="O290" t="s">
        <v>69</v>
      </c>
      <c r="P290" t="s">
        <v>69</v>
      </c>
      <c r="Q290">
        <v>3.05</v>
      </c>
      <c r="R290">
        <v>61</v>
      </c>
      <c r="S290">
        <v>55</v>
      </c>
      <c r="T290" t="s">
        <v>69</v>
      </c>
      <c r="U290">
        <v>0</v>
      </c>
      <c r="V290">
        <v>0</v>
      </c>
      <c r="W290" t="s">
        <v>69</v>
      </c>
      <c r="X290" t="s">
        <v>68</v>
      </c>
      <c r="Y290" t="s">
        <v>71</v>
      </c>
      <c r="Z290" t="s">
        <v>143</v>
      </c>
    </row>
    <row r="291" spans="1:26" x14ac:dyDescent="0.2">
      <c r="A291" t="s">
        <v>797</v>
      </c>
      <c r="B291" t="s">
        <v>569</v>
      </c>
      <c r="C291" t="s">
        <v>89</v>
      </c>
      <c r="D291" t="s">
        <v>90</v>
      </c>
      <c r="E291" t="s">
        <v>187</v>
      </c>
      <c r="F291" t="s">
        <v>120</v>
      </c>
      <c r="G291" t="s">
        <v>65</v>
      </c>
      <c r="H291" t="s">
        <v>66</v>
      </c>
      <c r="I291" t="s">
        <v>67</v>
      </c>
      <c r="J291" s="3">
        <v>43955</v>
      </c>
      <c r="K291">
        <v>5.7</v>
      </c>
      <c r="L291">
        <v>36</v>
      </c>
      <c r="M291" s="4">
        <v>9500</v>
      </c>
      <c r="N291" s="4">
        <v>149074</v>
      </c>
      <c r="O291" t="s">
        <v>68</v>
      </c>
      <c r="P291" t="s">
        <v>69</v>
      </c>
      <c r="Q291">
        <v>2.73</v>
      </c>
      <c r="R291">
        <v>51</v>
      </c>
      <c r="S291">
        <v>47</v>
      </c>
      <c r="T291" t="s">
        <v>69</v>
      </c>
      <c r="U291">
        <v>8</v>
      </c>
      <c r="V291">
        <v>61</v>
      </c>
      <c r="W291" t="s">
        <v>70</v>
      </c>
      <c r="X291" t="s">
        <v>68</v>
      </c>
      <c r="Y291" t="s">
        <v>86</v>
      </c>
      <c r="Z291" t="s">
        <v>89</v>
      </c>
    </row>
    <row r="292" spans="1:26" x14ac:dyDescent="0.2">
      <c r="A292" t="s">
        <v>798</v>
      </c>
      <c r="B292" t="s">
        <v>727</v>
      </c>
      <c r="C292" t="s">
        <v>108</v>
      </c>
      <c r="D292" t="s">
        <v>109</v>
      </c>
      <c r="E292" t="s">
        <v>264</v>
      </c>
      <c r="F292" t="s">
        <v>64</v>
      </c>
      <c r="G292" t="s">
        <v>65</v>
      </c>
      <c r="H292" t="s">
        <v>66</v>
      </c>
      <c r="I292" t="s">
        <v>236</v>
      </c>
      <c r="J292" s="3">
        <v>44526</v>
      </c>
      <c r="K292">
        <v>4.0999999999999996</v>
      </c>
      <c r="L292">
        <v>42</v>
      </c>
      <c r="M292" s="4">
        <v>6900</v>
      </c>
      <c r="N292" s="4">
        <v>100655</v>
      </c>
      <c r="O292" t="s">
        <v>68</v>
      </c>
      <c r="P292" t="s">
        <v>69</v>
      </c>
      <c r="Q292">
        <v>3.81</v>
      </c>
      <c r="R292">
        <v>85</v>
      </c>
      <c r="S292">
        <v>22</v>
      </c>
      <c r="T292" t="s">
        <v>69</v>
      </c>
      <c r="U292">
        <v>6</v>
      </c>
      <c r="V292">
        <v>49</v>
      </c>
      <c r="W292" t="s">
        <v>70</v>
      </c>
      <c r="X292" t="s">
        <v>69</v>
      </c>
      <c r="Y292" t="s">
        <v>71</v>
      </c>
      <c r="Z292" t="s">
        <v>108</v>
      </c>
    </row>
    <row r="293" spans="1:26" x14ac:dyDescent="0.2">
      <c r="A293" t="s">
        <v>799</v>
      </c>
      <c r="B293" t="s">
        <v>800</v>
      </c>
      <c r="C293" t="s">
        <v>102</v>
      </c>
      <c r="D293" t="s">
        <v>166</v>
      </c>
      <c r="E293" t="s">
        <v>801</v>
      </c>
      <c r="F293" t="s">
        <v>84</v>
      </c>
      <c r="G293" t="s">
        <v>227</v>
      </c>
      <c r="H293" t="s">
        <v>78</v>
      </c>
      <c r="I293" t="s">
        <v>236</v>
      </c>
      <c r="J293" s="3">
        <v>45614</v>
      </c>
      <c r="K293">
        <v>1.1000000000000001</v>
      </c>
      <c r="L293">
        <v>33</v>
      </c>
      <c r="M293" s="4">
        <v>17700</v>
      </c>
      <c r="N293" s="4">
        <v>282781</v>
      </c>
      <c r="O293" t="s">
        <v>69</v>
      </c>
      <c r="P293" t="s">
        <v>69</v>
      </c>
      <c r="Q293">
        <v>2.77</v>
      </c>
      <c r="R293">
        <v>59</v>
      </c>
      <c r="S293">
        <v>21</v>
      </c>
      <c r="T293" t="s">
        <v>68</v>
      </c>
      <c r="U293">
        <v>5</v>
      </c>
      <c r="V293">
        <v>17</v>
      </c>
      <c r="W293" t="s">
        <v>68</v>
      </c>
      <c r="X293" t="s">
        <v>68</v>
      </c>
      <c r="Y293" t="s">
        <v>71</v>
      </c>
      <c r="Z293" t="s">
        <v>102</v>
      </c>
    </row>
    <row r="294" spans="1:26" x14ac:dyDescent="0.2">
      <c r="A294" t="s">
        <v>802</v>
      </c>
      <c r="B294" t="s">
        <v>182</v>
      </c>
      <c r="C294" t="s">
        <v>124</v>
      </c>
      <c r="D294" t="s">
        <v>243</v>
      </c>
      <c r="E294" t="s">
        <v>668</v>
      </c>
      <c r="F294" t="s">
        <v>77</v>
      </c>
      <c r="G294" t="s">
        <v>65</v>
      </c>
      <c r="H294" t="s">
        <v>66</v>
      </c>
      <c r="I294" t="s">
        <v>148</v>
      </c>
      <c r="J294" s="3">
        <v>45271</v>
      </c>
      <c r="K294">
        <v>2.1</v>
      </c>
      <c r="L294">
        <v>43</v>
      </c>
      <c r="M294" s="4">
        <v>10000</v>
      </c>
      <c r="N294" s="4">
        <v>142750</v>
      </c>
      <c r="O294" t="s">
        <v>68</v>
      </c>
      <c r="P294" t="s">
        <v>68</v>
      </c>
      <c r="Q294">
        <v>2.4300000000000002</v>
      </c>
      <c r="R294">
        <v>62</v>
      </c>
      <c r="S294">
        <v>17</v>
      </c>
      <c r="T294" t="s">
        <v>69</v>
      </c>
      <c r="U294">
        <v>3</v>
      </c>
      <c r="V294">
        <v>16</v>
      </c>
      <c r="W294" t="s">
        <v>70</v>
      </c>
      <c r="X294" t="s">
        <v>68</v>
      </c>
      <c r="Y294" t="s">
        <v>71</v>
      </c>
      <c r="Z294" t="s">
        <v>124</v>
      </c>
    </row>
    <row r="295" spans="1:26" x14ac:dyDescent="0.2">
      <c r="A295" t="s">
        <v>803</v>
      </c>
      <c r="B295" t="s">
        <v>804</v>
      </c>
      <c r="C295" t="s">
        <v>74</v>
      </c>
      <c r="D295" t="s">
        <v>75</v>
      </c>
      <c r="E295" t="s">
        <v>76</v>
      </c>
      <c r="F295" t="s">
        <v>77</v>
      </c>
      <c r="G295" t="s">
        <v>65</v>
      </c>
      <c r="H295" t="s">
        <v>66</v>
      </c>
      <c r="I295" t="s">
        <v>99</v>
      </c>
      <c r="J295" s="3">
        <v>41862</v>
      </c>
      <c r="K295">
        <v>11.4</v>
      </c>
      <c r="L295">
        <v>22</v>
      </c>
      <c r="M295" s="4">
        <v>10900</v>
      </c>
      <c r="N295" s="4">
        <v>161192</v>
      </c>
      <c r="O295" t="s">
        <v>68</v>
      </c>
      <c r="P295" t="s">
        <v>68</v>
      </c>
      <c r="Q295">
        <v>3.49</v>
      </c>
      <c r="R295">
        <v>72</v>
      </c>
      <c r="S295">
        <v>7</v>
      </c>
      <c r="T295" t="s">
        <v>69</v>
      </c>
      <c r="U295">
        <v>0</v>
      </c>
      <c r="V295">
        <v>10</v>
      </c>
      <c r="W295" t="s">
        <v>70</v>
      </c>
      <c r="X295" t="s">
        <v>68</v>
      </c>
      <c r="Y295" t="s">
        <v>71</v>
      </c>
      <c r="Z295" t="s">
        <v>74</v>
      </c>
    </row>
    <row r="296" spans="1:26" x14ac:dyDescent="0.2">
      <c r="A296" t="s">
        <v>805</v>
      </c>
      <c r="B296" t="s">
        <v>238</v>
      </c>
      <c r="C296" t="s">
        <v>61</v>
      </c>
      <c r="D296" t="s">
        <v>177</v>
      </c>
      <c r="E296" t="s">
        <v>639</v>
      </c>
      <c r="F296" t="s">
        <v>120</v>
      </c>
      <c r="G296" t="s">
        <v>65</v>
      </c>
      <c r="H296" t="s">
        <v>78</v>
      </c>
      <c r="I296" t="s">
        <v>99</v>
      </c>
      <c r="J296" s="3">
        <v>42182</v>
      </c>
      <c r="K296">
        <v>10.5</v>
      </c>
      <c r="L296">
        <v>35</v>
      </c>
      <c r="M296" s="4">
        <v>8300</v>
      </c>
      <c r="N296" s="4">
        <v>130570</v>
      </c>
      <c r="O296" t="s">
        <v>68</v>
      </c>
      <c r="P296" t="s">
        <v>68</v>
      </c>
      <c r="Q296">
        <v>3.16</v>
      </c>
      <c r="R296">
        <v>60</v>
      </c>
      <c r="S296">
        <v>18</v>
      </c>
      <c r="T296" t="s">
        <v>69</v>
      </c>
      <c r="U296">
        <v>8</v>
      </c>
      <c r="V296">
        <v>0</v>
      </c>
      <c r="W296" t="s">
        <v>70</v>
      </c>
      <c r="X296" t="s">
        <v>68</v>
      </c>
      <c r="Y296" t="s">
        <v>71</v>
      </c>
      <c r="Z296" t="s">
        <v>61</v>
      </c>
    </row>
    <row r="297" spans="1:26" x14ac:dyDescent="0.2">
      <c r="A297" t="s">
        <v>806</v>
      </c>
      <c r="B297" t="s">
        <v>804</v>
      </c>
      <c r="C297" t="s">
        <v>143</v>
      </c>
      <c r="D297" t="s">
        <v>144</v>
      </c>
      <c r="E297" t="s">
        <v>145</v>
      </c>
      <c r="F297" t="s">
        <v>77</v>
      </c>
      <c r="G297" t="s">
        <v>65</v>
      </c>
      <c r="H297" t="s">
        <v>66</v>
      </c>
      <c r="I297" t="s">
        <v>99</v>
      </c>
      <c r="J297" s="3">
        <v>43924</v>
      </c>
      <c r="K297">
        <v>5.8</v>
      </c>
      <c r="L297">
        <v>53</v>
      </c>
      <c r="M297" s="4">
        <v>10400</v>
      </c>
      <c r="N297" s="4">
        <v>151086</v>
      </c>
      <c r="O297" t="s">
        <v>68</v>
      </c>
      <c r="P297" t="s">
        <v>69</v>
      </c>
      <c r="Q297">
        <v>2.6</v>
      </c>
      <c r="R297">
        <v>65</v>
      </c>
      <c r="S297">
        <v>36</v>
      </c>
      <c r="T297" t="s">
        <v>69</v>
      </c>
      <c r="U297">
        <v>8</v>
      </c>
      <c r="V297">
        <v>0</v>
      </c>
      <c r="W297" t="s">
        <v>70</v>
      </c>
      <c r="X297" t="s">
        <v>68</v>
      </c>
      <c r="Y297" t="s">
        <v>71</v>
      </c>
      <c r="Z297" t="s">
        <v>143</v>
      </c>
    </row>
    <row r="298" spans="1:26" x14ac:dyDescent="0.2">
      <c r="A298" t="s">
        <v>807</v>
      </c>
      <c r="B298" t="s">
        <v>808</v>
      </c>
      <c r="C298" t="s">
        <v>89</v>
      </c>
      <c r="D298" t="s">
        <v>230</v>
      </c>
      <c r="E298" t="s">
        <v>505</v>
      </c>
      <c r="F298" t="s">
        <v>77</v>
      </c>
      <c r="G298" t="s">
        <v>65</v>
      </c>
      <c r="H298" t="s">
        <v>66</v>
      </c>
      <c r="I298" t="s">
        <v>93</v>
      </c>
      <c r="J298" s="3">
        <v>44868</v>
      </c>
      <c r="K298">
        <v>3.2</v>
      </c>
      <c r="L298">
        <v>45</v>
      </c>
      <c r="M298" s="4">
        <v>9600</v>
      </c>
      <c r="N298" s="4">
        <v>138176</v>
      </c>
      <c r="O298" t="s">
        <v>68</v>
      </c>
      <c r="P298" t="s">
        <v>69</v>
      </c>
      <c r="Q298">
        <v>2.81</v>
      </c>
      <c r="R298">
        <v>64</v>
      </c>
      <c r="S298">
        <v>28</v>
      </c>
      <c r="T298" t="s">
        <v>69</v>
      </c>
      <c r="U298">
        <v>0</v>
      </c>
      <c r="V298">
        <v>9</v>
      </c>
      <c r="W298" t="s">
        <v>70</v>
      </c>
      <c r="X298" t="s">
        <v>68</v>
      </c>
      <c r="Y298" t="s">
        <v>71</v>
      </c>
      <c r="Z298" t="s">
        <v>89</v>
      </c>
    </row>
    <row r="299" spans="1:26" x14ac:dyDescent="0.2">
      <c r="A299" t="s">
        <v>809</v>
      </c>
      <c r="B299" t="s">
        <v>662</v>
      </c>
      <c r="C299" t="s">
        <v>102</v>
      </c>
      <c r="D299" t="s">
        <v>339</v>
      </c>
      <c r="E299" t="s">
        <v>523</v>
      </c>
      <c r="F299" t="s">
        <v>136</v>
      </c>
      <c r="G299" t="s">
        <v>65</v>
      </c>
      <c r="H299" t="s">
        <v>78</v>
      </c>
      <c r="I299" t="s">
        <v>67</v>
      </c>
      <c r="J299" s="3">
        <v>45382</v>
      </c>
      <c r="K299">
        <v>1.8</v>
      </c>
      <c r="L299">
        <v>38</v>
      </c>
      <c r="M299" s="4">
        <v>12100</v>
      </c>
      <c r="N299" s="4">
        <v>175387</v>
      </c>
      <c r="O299" t="s">
        <v>68</v>
      </c>
      <c r="P299" t="s">
        <v>69</v>
      </c>
      <c r="Q299">
        <v>3.49</v>
      </c>
      <c r="R299">
        <v>53</v>
      </c>
      <c r="S299">
        <v>2</v>
      </c>
      <c r="T299" t="s">
        <v>69</v>
      </c>
      <c r="U299">
        <v>8</v>
      </c>
      <c r="V299">
        <v>11</v>
      </c>
      <c r="W299" t="s">
        <v>70</v>
      </c>
      <c r="X299" t="s">
        <v>68</v>
      </c>
      <c r="Y299" t="s">
        <v>71</v>
      </c>
      <c r="Z299" t="s">
        <v>102</v>
      </c>
    </row>
    <row r="300" spans="1:26" x14ac:dyDescent="0.2">
      <c r="A300" t="s">
        <v>810</v>
      </c>
      <c r="B300" t="s">
        <v>611</v>
      </c>
      <c r="C300" t="s">
        <v>102</v>
      </c>
      <c r="D300" t="s">
        <v>166</v>
      </c>
      <c r="E300" t="s">
        <v>686</v>
      </c>
      <c r="F300" t="s">
        <v>64</v>
      </c>
      <c r="G300" t="s">
        <v>65</v>
      </c>
      <c r="H300" t="s">
        <v>78</v>
      </c>
      <c r="I300" t="s">
        <v>99</v>
      </c>
      <c r="J300" s="3">
        <v>42097</v>
      </c>
      <c r="K300">
        <v>10.8</v>
      </c>
      <c r="L300">
        <v>49</v>
      </c>
      <c r="M300" s="4">
        <v>5800</v>
      </c>
      <c r="N300" s="4">
        <v>85626</v>
      </c>
      <c r="O300" t="s">
        <v>68</v>
      </c>
      <c r="P300" t="s">
        <v>69</v>
      </c>
      <c r="Q300">
        <v>2.57</v>
      </c>
      <c r="R300">
        <v>56</v>
      </c>
      <c r="S300">
        <v>17</v>
      </c>
      <c r="T300" t="s">
        <v>69</v>
      </c>
      <c r="U300">
        <v>4</v>
      </c>
      <c r="V300">
        <v>48</v>
      </c>
      <c r="W300" t="s">
        <v>70</v>
      </c>
      <c r="X300" t="s">
        <v>68</v>
      </c>
      <c r="Y300" t="s">
        <v>86</v>
      </c>
      <c r="Z300" t="s">
        <v>102</v>
      </c>
    </row>
    <row r="301" spans="1:26" x14ac:dyDescent="0.2">
      <c r="A301" t="s">
        <v>811</v>
      </c>
      <c r="B301" t="s">
        <v>283</v>
      </c>
      <c r="C301" t="s">
        <v>96</v>
      </c>
      <c r="D301" t="s">
        <v>162</v>
      </c>
      <c r="E301" t="s">
        <v>403</v>
      </c>
      <c r="F301" t="s">
        <v>84</v>
      </c>
      <c r="G301" t="s">
        <v>227</v>
      </c>
      <c r="H301" t="s">
        <v>66</v>
      </c>
      <c r="I301" t="s">
        <v>111</v>
      </c>
      <c r="J301" s="3">
        <v>41178</v>
      </c>
      <c r="K301">
        <v>13.3</v>
      </c>
      <c r="L301">
        <v>46</v>
      </c>
      <c r="M301" s="4">
        <v>20400</v>
      </c>
      <c r="N301" s="4">
        <v>335750</v>
      </c>
      <c r="O301" t="s">
        <v>69</v>
      </c>
      <c r="P301" t="s">
        <v>69</v>
      </c>
      <c r="Q301">
        <v>3.26</v>
      </c>
      <c r="R301">
        <v>68</v>
      </c>
      <c r="S301">
        <v>41</v>
      </c>
      <c r="T301" t="s">
        <v>69</v>
      </c>
      <c r="U301">
        <v>5</v>
      </c>
      <c r="V301">
        <v>31</v>
      </c>
      <c r="W301" t="s">
        <v>69</v>
      </c>
      <c r="X301" t="s">
        <v>68</v>
      </c>
      <c r="Y301" t="s">
        <v>71</v>
      </c>
      <c r="Z301" t="s">
        <v>96</v>
      </c>
    </row>
    <row r="302" spans="1:26" x14ac:dyDescent="0.2">
      <c r="A302" t="s">
        <v>812</v>
      </c>
      <c r="B302" t="s">
        <v>813</v>
      </c>
      <c r="C302" t="s">
        <v>89</v>
      </c>
      <c r="D302" t="s">
        <v>90</v>
      </c>
      <c r="E302" t="s">
        <v>348</v>
      </c>
      <c r="F302" t="s">
        <v>77</v>
      </c>
      <c r="G302" t="s">
        <v>65</v>
      </c>
      <c r="H302" t="s">
        <v>66</v>
      </c>
      <c r="I302" t="s">
        <v>111</v>
      </c>
      <c r="J302" s="3">
        <v>40943</v>
      </c>
      <c r="K302">
        <v>13.9</v>
      </c>
      <c r="L302">
        <v>45</v>
      </c>
      <c r="M302" s="4">
        <v>12500</v>
      </c>
      <c r="N302" s="4">
        <v>181066</v>
      </c>
      <c r="O302" t="s">
        <v>68</v>
      </c>
      <c r="P302" t="s">
        <v>69</v>
      </c>
      <c r="Q302">
        <v>2.99</v>
      </c>
      <c r="R302">
        <v>75</v>
      </c>
      <c r="S302">
        <v>26</v>
      </c>
      <c r="T302" t="s">
        <v>69</v>
      </c>
      <c r="U302">
        <v>0</v>
      </c>
      <c r="V302">
        <v>30</v>
      </c>
      <c r="W302" t="s">
        <v>70</v>
      </c>
      <c r="X302" t="s">
        <v>68</v>
      </c>
      <c r="Y302" t="s">
        <v>71</v>
      </c>
      <c r="Z302" t="s">
        <v>89</v>
      </c>
    </row>
    <row r="303" spans="1:26" x14ac:dyDescent="0.2">
      <c r="A303" t="s">
        <v>814</v>
      </c>
      <c r="B303" t="s">
        <v>815</v>
      </c>
      <c r="C303" t="s">
        <v>108</v>
      </c>
      <c r="D303" t="s">
        <v>222</v>
      </c>
      <c r="E303" t="s">
        <v>693</v>
      </c>
      <c r="F303" t="s">
        <v>64</v>
      </c>
      <c r="G303" t="s">
        <v>65</v>
      </c>
      <c r="H303" t="s">
        <v>78</v>
      </c>
      <c r="I303" t="s">
        <v>111</v>
      </c>
      <c r="J303" s="3">
        <v>42764</v>
      </c>
      <c r="K303">
        <v>8.9</v>
      </c>
      <c r="L303">
        <v>56</v>
      </c>
      <c r="M303" s="4">
        <v>5600</v>
      </c>
      <c r="N303" s="4">
        <v>91969</v>
      </c>
      <c r="O303" t="s">
        <v>68</v>
      </c>
      <c r="P303" t="s">
        <v>69</v>
      </c>
      <c r="Q303">
        <v>3.76</v>
      </c>
      <c r="R303">
        <v>93</v>
      </c>
      <c r="S303">
        <v>22</v>
      </c>
      <c r="T303" t="s">
        <v>69</v>
      </c>
      <c r="U303">
        <v>3</v>
      </c>
      <c r="V303">
        <v>44</v>
      </c>
      <c r="W303" t="s">
        <v>70</v>
      </c>
      <c r="X303" t="s">
        <v>69</v>
      </c>
      <c r="Y303" t="s">
        <v>71</v>
      </c>
      <c r="Z303" t="s">
        <v>108</v>
      </c>
    </row>
    <row r="304" spans="1:26" x14ac:dyDescent="0.2">
      <c r="A304" t="s">
        <v>816</v>
      </c>
      <c r="B304" t="s">
        <v>817</v>
      </c>
      <c r="C304" t="s">
        <v>61</v>
      </c>
      <c r="D304" t="s">
        <v>62</v>
      </c>
      <c r="E304" t="s">
        <v>683</v>
      </c>
      <c r="F304" t="s">
        <v>92</v>
      </c>
      <c r="G304" t="s">
        <v>65</v>
      </c>
      <c r="H304" t="s">
        <v>66</v>
      </c>
      <c r="I304" t="s">
        <v>111</v>
      </c>
      <c r="J304" s="3">
        <v>41884</v>
      </c>
      <c r="K304">
        <v>11.3</v>
      </c>
      <c r="L304">
        <v>28</v>
      </c>
      <c r="M304" s="4">
        <v>4400</v>
      </c>
      <c r="N304" s="4">
        <v>66578</v>
      </c>
      <c r="O304" t="s">
        <v>68</v>
      </c>
      <c r="P304" t="s">
        <v>69</v>
      </c>
      <c r="Q304">
        <v>2.7</v>
      </c>
      <c r="R304">
        <v>67</v>
      </c>
      <c r="S304">
        <v>34</v>
      </c>
      <c r="T304" t="s">
        <v>69</v>
      </c>
      <c r="U304">
        <v>9</v>
      </c>
      <c r="V304">
        <v>19</v>
      </c>
      <c r="W304" t="s">
        <v>70</v>
      </c>
      <c r="X304" t="s">
        <v>68</v>
      </c>
      <c r="Y304" t="s">
        <v>71</v>
      </c>
      <c r="Z304" t="s">
        <v>61</v>
      </c>
    </row>
    <row r="305" spans="1:26" x14ac:dyDescent="0.2">
      <c r="A305" t="s">
        <v>818</v>
      </c>
      <c r="B305" t="s">
        <v>716</v>
      </c>
      <c r="C305" t="s">
        <v>108</v>
      </c>
      <c r="D305" t="s">
        <v>222</v>
      </c>
      <c r="E305" t="s">
        <v>378</v>
      </c>
      <c r="F305" t="s">
        <v>77</v>
      </c>
      <c r="G305" t="s">
        <v>65</v>
      </c>
      <c r="H305" t="s">
        <v>66</v>
      </c>
      <c r="I305" t="s">
        <v>79</v>
      </c>
      <c r="J305" s="3">
        <v>43209</v>
      </c>
      <c r="K305">
        <v>7.7</v>
      </c>
      <c r="L305">
        <v>35</v>
      </c>
      <c r="M305" s="4">
        <v>9400</v>
      </c>
      <c r="N305" s="4">
        <v>137433</v>
      </c>
      <c r="O305" t="s">
        <v>68</v>
      </c>
      <c r="P305" t="s">
        <v>69</v>
      </c>
      <c r="Q305">
        <v>3.05</v>
      </c>
      <c r="R305">
        <v>61</v>
      </c>
      <c r="S305">
        <v>11</v>
      </c>
      <c r="T305" t="s">
        <v>69</v>
      </c>
      <c r="U305">
        <v>0</v>
      </c>
      <c r="V305">
        <v>0</v>
      </c>
      <c r="W305" t="s">
        <v>70</v>
      </c>
      <c r="X305" t="s">
        <v>68</v>
      </c>
      <c r="Y305" t="s">
        <v>71</v>
      </c>
      <c r="Z305" t="s">
        <v>108</v>
      </c>
    </row>
    <row r="306" spans="1:26" x14ac:dyDescent="0.2">
      <c r="A306" t="s">
        <v>819</v>
      </c>
      <c r="B306" t="s">
        <v>564</v>
      </c>
      <c r="C306" t="s">
        <v>96</v>
      </c>
      <c r="D306" t="s">
        <v>97</v>
      </c>
      <c r="E306" t="s">
        <v>730</v>
      </c>
      <c r="F306" t="s">
        <v>64</v>
      </c>
      <c r="G306" t="s">
        <v>65</v>
      </c>
      <c r="H306" t="s">
        <v>66</v>
      </c>
      <c r="I306" t="s">
        <v>67</v>
      </c>
      <c r="J306" s="3">
        <v>41670</v>
      </c>
      <c r="K306">
        <v>11.9</v>
      </c>
      <c r="L306">
        <v>34</v>
      </c>
      <c r="M306" s="4">
        <v>4900</v>
      </c>
      <c r="N306" s="4">
        <v>72529</v>
      </c>
      <c r="O306" t="s">
        <v>68</v>
      </c>
      <c r="P306" t="s">
        <v>69</v>
      </c>
      <c r="Q306">
        <v>2.75</v>
      </c>
      <c r="R306">
        <v>51</v>
      </c>
      <c r="S306">
        <v>17</v>
      </c>
      <c r="T306" t="s">
        <v>68</v>
      </c>
      <c r="U306">
        <v>3</v>
      </c>
      <c r="V306">
        <v>7</v>
      </c>
      <c r="W306" t="s">
        <v>70</v>
      </c>
      <c r="X306" t="s">
        <v>68</v>
      </c>
      <c r="Y306" t="s">
        <v>86</v>
      </c>
      <c r="Z306" t="s">
        <v>96</v>
      </c>
    </row>
    <row r="307" spans="1:26" x14ac:dyDescent="0.2">
      <c r="A307" t="s">
        <v>820</v>
      </c>
      <c r="B307" t="s">
        <v>821</v>
      </c>
      <c r="C307" t="s">
        <v>133</v>
      </c>
      <c r="D307" t="s">
        <v>134</v>
      </c>
      <c r="E307" t="s">
        <v>822</v>
      </c>
      <c r="F307" t="s">
        <v>64</v>
      </c>
      <c r="G307" t="s">
        <v>65</v>
      </c>
      <c r="H307" t="s">
        <v>78</v>
      </c>
      <c r="I307" t="s">
        <v>99</v>
      </c>
      <c r="J307" s="3">
        <v>43279</v>
      </c>
      <c r="K307">
        <v>7.5</v>
      </c>
      <c r="L307">
        <v>48</v>
      </c>
      <c r="M307" s="4">
        <v>6400</v>
      </c>
      <c r="N307" s="4">
        <v>105647</v>
      </c>
      <c r="O307" t="s">
        <v>68</v>
      </c>
      <c r="P307" t="s">
        <v>68</v>
      </c>
      <c r="Q307">
        <v>3.38</v>
      </c>
      <c r="R307">
        <v>69</v>
      </c>
      <c r="S307">
        <v>23</v>
      </c>
      <c r="T307" t="s">
        <v>69</v>
      </c>
      <c r="U307">
        <v>7</v>
      </c>
      <c r="V307">
        <v>26</v>
      </c>
      <c r="W307" t="s">
        <v>70</v>
      </c>
      <c r="X307" t="s">
        <v>68</v>
      </c>
      <c r="Y307" t="s">
        <v>71</v>
      </c>
      <c r="Z307" t="s">
        <v>133</v>
      </c>
    </row>
    <row r="308" spans="1:26" x14ac:dyDescent="0.2">
      <c r="A308" t="s">
        <v>823</v>
      </c>
      <c r="B308" t="s">
        <v>824</v>
      </c>
      <c r="C308" t="s">
        <v>108</v>
      </c>
      <c r="D308" t="s">
        <v>194</v>
      </c>
      <c r="E308" t="s">
        <v>825</v>
      </c>
      <c r="F308" t="s">
        <v>136</v>
      </c>
      <c r="G308" t="s">
        <v>85</v>
      </c>
      <c r="H308" t="s">
        <v>66</v>
      </c>
      <c r="I308" t="s">
        <v>111</v>
      </c>
      <c r="J308" s="3">
        <v>41764</v>
      </c>
      <c r="K308">
        <v>11.7</v>
      </c>
      <c r="L308">
        <v>47</v>
      </c>
      <c r="M308" s="4">
        <v>13600</v>
      </c>
      <c r="N308" s="4">
        <v>224867</v>
      </c>
      <c r="O308" t="s">
        <v>68</v>
      </c>
      <c r="P308" t="s">
        <v>69</v>
      </c>
      <c r="Q308">
        <v>1.81</v>
      </c>
      <c r="R308">
        <v>57</v>
      </c>
      <c r="S308">
        <v>18</v>
      </c>
      <c r="T308" t="s">
        <v>69</v>
      </c>
      <c r="U308">
        <v>2</v>
      </c>
      <c r="V308">
        <v>23</v>
      </c>
      <c r="W308" t="s">
        <v>70</v>
      </c>
      <c r="X308" t="s">
        <v>68</v>
      </c>
      <c r="Y308" t="s">
        <v>71</v>
      </c>
      <c r="Z308" t="s">
        <v>108</v>
      </c>
    </row>
    <row r="309" spans="1:26" x14ac:dyDescent="0.2">
      <c r="A309" t="s">
        <v>826</v>
      </c>
      <c r="B309" t="s">
        <v>827</v>
      </c>
      <c r="C309" t="s">
        <v>74</v>
      </c>
      <c r="D309" t="s">
        <v>313</v>
      </c>
      <c r="E309" t="s">
        <v>526</v>
      </c>
      <c r="F309" t="s">
        <v>136</v>
      </c>
      <c r="G309" t="s">
        <v>85</v>
      </c>
      <c r="H309" t="s">
        <v>78</v>
      </c>
      <c r="I309" t="s">
        <v>111</v>
      </c>
      <c r="J309" s="3">
        <v>44865</v>
      </c>
      <c r="K309">
        <v>3.2</v>
      </c>
      <c r="L309">
        <v>53</v>
      </c>
      <c r="M309" s="4">
        <v>11700</v>
      </c>
      <c r="N309" s="4">
        <v>171258</v>
      </c>
      <c r="O309" t="s">
        <v>69</v>
      </c>
      <c r="P309" t="s">
        <v>68</v>
      </c>
      <c r="Q309">
        <v>3.71</v>
      </c>
      <c r="R309">
        <v>54</v>
      </c>
      <c r="S309">
        <v>15</v>
      </c>
      <c r="T309" t="s">
        <v>69</v>
      </c>
      <c r="U309">
        <v>3</v>
      </c>
      <c r="V309">
        <v>35</v>
      </c>
      <c r="W309" t="s">
        <v>68</v>
      </c>
      <c r="X309" t="s">
        <v>69</v>
      </c>
      <c r="Y309" t="s">
        <v>86</v>
      </c>
      <c r="Z309" t="s">
        <v>74</v>
      </c>
    </row>
    <row r="310" spans="1:26" x14ac:dyDescent="0.2">
      <c r="A310" t="s">
        <v>828</v>
      </c>
      <c r="B310" t="s">
        <v>775</v>
      </c>
      <c r="C310" t="s">
        <v>133</v>
      </c>
      <c r="D310" t="s">
        <v>134</v>
      </c>
      <c r="E310" t="s">
        <v>822</v>
      </c>
      <c r="F310" t="s">
        <v>64</v>
      </c>
      <c r="G310" t="s">
        <v>65</v>
      </c>
      <c r="H310" t="s">
        <v>66</v>
      </c>
      <c r="I310" t="s">
        <v>99</v>
      </c>
      <c r="J310" s="3">
        <v>45977</v>
      </c>
      <c r="K310">
        <v>0.1</v>
      </c>
      <c r="L310">
        <v>52</v>
      </c>
      <c r="M310" s="4">
        <v>6200</v>
      </c>
      <c r="N310" s="4">
        <v>100567</v>
      </c>
      <c r="O310" t="s">
        <v>68</v>
      </c>
      <c r="P310" t="s">
        <v>68</v>
      </c>
      <c r="Q310">
        <v>3.35</v>
      </c>
      <c r="R310">
        <v>69</v>
      </c>
      <c r="S310">
        <v>12</v>
      </c>
      <c r="T310" t="s">
        <v>69</v>
      </c>
      <c r="U310">
        <v>0</v>
      </c>
      <c r="V310">
        <v>26</v>
      </c>
      <c r="W310" t="s">
        <v>70</v>
      </c>
      <c r="X310" t="s">
        <v>68</v>
      </c>
      <c r="Y310" t="s">
        <v>71</v>
      </c>
      <c r="Z310" t="s">
        <v>133</v>
      </c>
    </row>
    <row r="311" spans="1:26" x14ac:dyDescent="0.2">
      <c r="A311" t="s">
        <v>829</v>
      </c>
      <c r="B311" t="s">
        <v>830</v>
      </c>
      <c r="C311" t="s">
        <v>143</v>
      </c>
      <c r="D311" t="s">
        <v>144</v>
      </c>
      <c r="E311" t="s">
        <v>787</v>
      </c>
      <c r="F311" t="s">
        <v>136</v>
      </c>
      <c r="G311" t="s">
        <v>65</v>
      </c>
      <c r="H311" t="s">
        <v>66</v>
      </c>
      <c r="I311" t="s">
        <v>67</v>
      </c>
      <c r="J311" s="3">
        <v>45721</v>
      </c>
      <c r="K311">
        <v>0.8</v>
      </c>
      <c r="L311">
        <v>44</v>
      </c>
      <c r="M311" s="4">
        <v>15900</v>
      </c>
      <c r="N311" s="4">
        <v>254007</v>
      </c>
      <c r="O311" t="s">
        <v>68</v>
      </c>
      <c r="P311" t="s">
        <v>69</v>
      </c>
      <c r="Q311">
        <v>3.3</v>
      </c>
      <c r="R311">
        <v>40</v>
      </c>
      <c r="S311">
        <v>43</v>
      </c>
      <c r="T311" t="s">
        <v>69</v>
      </c>
      <c r="U311">
        <v>4</v>
      </c>
      <c r="V311">
        <v>20</v>
      </c>
      <c r="W311" t="s">
        <v>70</v>
      </c>
      <c r="X311" t="s">
        <v>68</v>
      </c>
      <c r="Y311" t="s">
        <v>86</v>
      </c>
      <c r="Z311" t="s">
        <v>143</v>
      </c>
    </row>
    <row r="312" spans="1:26" x14ac:dyDescent="0.2">
      <c r="A312" t="s">
        <v>831</v>
      </c>
      <c r="B312" t="s">
        <v>832</v>
      </c>
      <c r="C312" t="s">
        <v>102</v>
      </c>
      <c r="D312" t="s">
        <v>103</v>
      </c>
      <c r="E312" t="s">
        <v>503</v>
      </c>
      <c r="F312" t="s">
        <v>136</v>
      </c>
      <c r="G312" t="s">
        <v>65</v>
      </c>
      <c r="H312" t="s">
        <v>66</v>
      </c>
      <c r="I312" t="s">
        <v>67</v>
      </c>
      <c r="J312" s="3">
        <v>45552</v>
      </c>
      <c r="K312">
        <v>1.3</v>
      </c>
      <c r="L312">
        <v>28</v>
      </c>
      <c r="M312" s="4">
        <v>11600</v>
      </c>
      <c r="N312" s="4">
        <v>166484</v>
      </c>
      <c r="O312" t="s">
        <v>69</v>
      </c>
      <c r="P312" t="s">
        <v>69</v>
      </c>
      <c r="Q312">
        <v>3.25</v>
      </c>
      <c r="R312">
        <v>74</v>
      </c>
      <c r="S312">
        <v>27</v>
      </c>
      <c r="T312" t="s">
        <v>69</v>
      </c>
      <c r="U312">
        <v>2</v>
      </c>
      <c r="V312">
        <v>15</v>
      </c>
      <c r="W312" t="s">
        <v>69</v>
      </c>
      <c r="X312" t="s">
        <v>68</v>
      </c>
      <c r="Y312" t="s">
        <v>71</v>
      </c>
      <c r="Z312" t="s">
        <v>102</v>
      </c>
    </row>
    <row r="313" spans="1:26" x14ac:dyDescent="0.2">
      <c r="A313" t="s">
        <v>833</v>
      </c>
      <c r="B313" t="s">
        <v>471</v>
      </c>
      <c r="C313" t="s">
        <v>96</v>
      </c>
      <c r="D313" t="s">
        <v>129</v>
      </c>
      <c r="E313" t="s">
        <v>834</v>
      </c>
      <c r="F313" t="s">
        <v>84</v>
      </c>
      <c r="G313" t="s">
        <v>215</v>
      </c>
      <c r="H313" t="s">
        <v>78</v>
      </c>
      <c r="I313" t="s">
        <v>99</v>
      </c>
      <c r="J313" s="3">
        <v>41869</v>
      </c>
      <c r="K313">
        <v>11.4</v>
      </c>
      <c r="L313">
        <v>40</v>
      </c>
      <c r="M313" s="4">
        <v>21900</v>
      </c>
      <c r="N313" s="4">
        <v>321728</v>
      </c>
      <c r="O313" t="s">
        <v>69</v>
      </c>
      <c r="P313" t="s">
        <v>69</v>
      </c>
      <c r="Q313">
        <v>3.34</v>
      </c>
      <c r="R313">
        <v>59</v>
      </c>
      <c r="S313">
        <v>24</v>
      </c>
      <c r="T313" t="s">
        <v>69</v>
      </c>
      <c r="U313">
        <v>9</v>
      </c>
      <c r="V313">
        <v>0</v>
      </c>
      <c r="W313" t="s">
        <v>68</v>
      </c>
      <c r="X313" t="s">
        <v>68</v>
      </c>
      <c r="Y313" t="s">
        <v>71</v>
      </c>
      <c r="Z313" t="s">
        <v>96</v>
      </c>
    </row>
    <row r="314" spans="1:26" x14ac:dyDescent="0.2">
      <c r="A314" t="s">
        <v>835</v>
      </c>
      <c r="B314" t="s">
        <v>132</v>
      </c>
      <c r="C314" t="s">
        <v>61</v>
      </c>
      <c r="D314" t="s">
        <v>604</v>
      </c>
      <c r="E314" t="s">
        <v>836</v>
      </c>
      <c r="F314" t="s">
        <v>174</v>
      </c>
      <c r="G314" t="s">
        <v>65</v>
      </c>
      <c r="H314" t="s">
        <v>66</v>
      </c>
      <c r="I314" t="s">
        <v>79</v>
      </c>
      <c r="J314" s="3">
        <v>42653</v>
      </c>
      <c r="K314">
        <v>9.1999999999999993</v>
      </c>
      <c r="L314">
        <v>53</v>
      </c>
      <c r="M314" s="4">
        <v>20500</v>
      </c>
      <c r="N314" s="4">
        <v>318906</v>
      </c>
      <c r="O314" t="s">
        <v>69</v>
      </c>
      <c r="P314" t="s">
        <v>68</v>
      </c>
      <c r="Q314">
        <v>2.95</v>
      </c>
      <c r="R314">
        <v>71</v>
      </c>
      <c r="S314">
        <v>48</v>
      </c>
      <c r="T314" t="s">
        <v>69</v>
      </c>
      <c r="U314">
        <v>11</v>
      </c>
      <c r="V314">
        <v>26</v>
      </c>
      <c r="W314" t="s">
        <v>68</v>
      </c>
      <c r="X314" t="s">
        <v>68</v>
      </c>
      <c r="Y314" t="s">
        <v>71</v>
      </c>
      <c r="Z314" t="s">
        <v>61</v>
      </c>
    </row>
    <row r="315" spans="1:26" x14ac:dyDescent="0.2">
      <c r="A315" t="s">
        <v>837</v>
      </c>
      <c r="B315" t="s">
        <v>838</v>
      </c>
      <c r="C315" t="s">
        <v>102</v>
      </c>
      <c r="D315" t="s">
        <v>339</v>
      </c>
      <c r="E315" t="s">
        <v>469</v>
      </c>
      <c r="F315" t="s">
        <v>120</v>
      </c>
      <c r="G315" t="s">
        <v>65</v>
      </c>
      <c r="H315" t="s">
        <v>78</v>
      </c>
      <c r="I315" t="s">
        <v>148</v>
      </c>
      <c r="J315" s="3">
        <v>42531</v>
      </c>
      <c r="K315">
        <v>9.6</v>
      </c>
      <c r="L315">
        <v>42</v>
      </c>
      <c r="M315" s="4">
        <v>8900</v>
      </c>
      <c r="N315" s="4">
        <v>146969</v>
      </c>
      <c r="O315" t="s">
        <v>68</v>
      </c>
      <c r="P315" t="s">
        <v>69</v>
      </c>
      <c r="Q315">
        <v>2.56</v>
      </c>
      <c r="R315">
        <v>57</v>
      </c>
      <c r="S315">
        <v>23</v>
      </c>
      <c r="T315" t="s">
        <v>68</v>
      </c>
      <c r="U315">
        <v>8</v>
      </c>
      <c r="V315">
        <v>25</v>
      </c>
      <c r="W315" t="s">
        <v>70</v>
      </c>
      <c r="X315" t="s">
        <v>68</v>
      </c>
      <c r="Y315" t="s">
        <v>71</v>
      </c>
      <c r="Z315" t="s">
        <v>102</v>
      </c>
    </row>
    <row r="316" spans="1:26" x14ac:dyDescent="0.2">
      <c r="A316" t="s">
        <v>839</v>
      </c>
      <c r="B316" t="s">
        <v>316</v>
      </c>
      <c r="C316" t="s">
        <v>61</v>
      </c>
      <c r="D316" t="s">
        <v>177</v>
      </c>
      <c r="E316" t="s">
        <v>178</v>
      </c>
      <c r="F316" t="s">
        <v>77</v>
      </c>
      <c r="G316" t="s">
        <v>85</v>
      </c>
      <c r="H316" t="s">
        <v>78</v>
      </c>
      <c r="I316" t="s">
        <v>115</v>
      </c>
      <c r="J316" s="3">
        <v>43853</v>
      </c>
      <c r="K316">
        <v>5.9</v>
      </c>
      <c r="L316">
        <v>58</v>
      </c>
      <c r="M316" s="4">
        <v>9900</v>
      </c>
      <c r="N316" s="4">
        <v>158140</v>
      </c>
      <c r="O316" t="s">
        <v>69</v>
      </c>
      <c r="P316" t="s">
        <v>69</v>
      </c>
      <c r="Q316">
        <v>2.96</v>
      </c>
      <c r="R316">
        <v>56</v>
      </c>
      <c r="S316">
        <v>26</v>
      </c>
      <c r="T316" t="s">
        <v>69</v>
      </c>
      <c r="U316">
        <v>4</v>
      </c>
      <c r="V316">
        <v>0</v>
      </c>
      <c r="W316" t="s">
        <v>68</v>
      </c>
      <c r="X316" t="s">
        <v>68</v>
      </c>
      <c r="Y316" t="s">
        <v>71</v>
      </c>
      <c r="Z316" t="s">
        <v>61</v>
      </c>
    </row>
    <row r="317" spans="1:26" x14ac:dyDescent="0.2">
      <c r="A317" t="s">
        <v>840</v>
      </c>
      <c r="B317" t="s">
        <v>841</v>
      </c>
      <c r="C317" t="s">
        <v>89</v>
      </c>
      <c r="D317" t="s">
        <v>239</v>
      </c>
      <c r="E317" t="s">
        <v>384</v>
      </c>
      <c r="F317" t="s">
        <v>136</v>
      </c>
      <c r="G317" t="s">
        <v>65</v>
      </c>
      <c r="H317" t="s">
        <v>66</v>
      </c>
      <c r="I317" t="s">
        <v>79</v>
      </c>
      <c r="J317" s="3">
        <v>42202</v>
      </c>
      <c r="K317">
        <v>10.5</v>
      </c>
      <c r="L317">
        <v>42</v>
      </c>
      <c r="M317" s="4">
        <v>14300</v>
      </c>
      <c r="N317" s="4">
        <v>210015</v>
      </c>
      <c r="O317" t="s">
        <v>68</v>
      </c>
      <c r="P317" t="s">
        <v>69</v>
      </c>
      <c r="Q317">
        <v>3.93</v>
      </c>
      <c r="R317">
        <v>63</v>
      </c>
      <c r="S317">
        <v>32</v>
      </c>
      <c r="T317" t="s">
        <v>69</v>
      </c>
      <c r="U317">
        <v>15</v>
      </c>
      <c r="V317">
        <v>46</v>
      </c>
      <c r="W317" t="s">
        <v>70</v>
      </c>
      <c r="X317" t="s">
        <v>69</v>
      </c>
      <c r="Y317" t="s">
        <v>86</v>
      </c>
      <c r="Z317" t="s">
        <v>89</v>
      </c>
    </row>
    <row r="318" spans="1:26" x14ac:dyDescent="0.2">
      <c r="A318" t="s">
        <v>842</v>
      </c>
      <c r="B318" t="s">
        <v>843</v>
      </c>
      <c r="C318" t="s">
        <v>89</v>
      </c>
      <c r="D318" t="s">
        <v>230</v>
      </c>
      <c r="E318" t="s">
        <v>549</v>
      </c>
      <c r="F318" t="s">
        <v>120</v>
      </c>
      <c r="G318" t="s">
        <v>65</v>
      </c>
      <c r="H318" t="s">
        <v>66</v>
      </c>
      <c r="I318" t="s">
        <v>115</v>
      </c>
      <c r="J318" s="3">
        <v>45496</v>
      </c>
      <c r="K318">
        <v>1.4</v>
      </c>
      <c r="L318">
        <v>44</v>
      </c>
      <c r="M318" s="4">
        <v>9700</v>
      </c>
      <c r="N318" s="4">
        <v>137608</v>
      </c>
      <c r="O318" t="s">
        <v>68</v>
      </c>
      <c r="P318" t="s">
        <v>69</v>
      </c>
      <c r="Q318">
        <v>3.55</v>
      </c>
      <c r="R318">
        <v>69</v>
      </c>
      <c r="S318">
        <v>27</v>
      </c>
      <c r="T318" t="s">
        <v>69</v>
      </c>
      <c r="U318">
        <v>11</v>
      </c>
      <c r="V318">
        <v>33</v>
      </c>
      <c r="W318" t="s">
        <v>70</v>
      </c>
      <c r="X318" t="s">
        <v>69</v>
      </c>
      <c r="Y318" t="s">
        <v>71</v>
      </c>
      <c r="Z318" t="s">
        <v>89</v>
      </c>
    </row>
    <row r="319" spans="1:26" x14ac:dyDescent="0.2">
      <c r="A319" t="s">
        <v>844</v>
      </c>
      <c r="B319" t="s">
        <v>101</v>
      </c>
      <c r="C319" t="s">
        <v>108</v>
      </c>
      <c r="D319" t="s">
        <v>194</v>
      </c>
      <c r="E319" t="s">
        <v>195</v>
      </c>
      <c r="F319" t="s">
        <v>64</v>
      </c>
      <c r="G319" t="s">
        <v>215</v>
      </c>
      <c r="H319" t="s">
        <v>78</v>
      </c>
      <c r="I319" t="s">
        <v>148</v>
      </c>
      <c r="J319" s="3">
        <v>45961</v>
      </c>
      <c r="K319">
        <v>0.2</v>
      </c>
      <c r="L319">
        <v>27</v>
      </c>
      <c r="M319" s="4">
        <v>7400</v>
      </c>
      <c r="N319" s="4">
        <v>106612</v>
      </c>
      <c r="O319" t="s">
        <v>69</v>
      </c>
      <c r="P319" t="s">
        <v>69</v>
      </c>
      <c r="Q319">
        <v>3.42</v>
      </c>
      <c r="R319">
        <v>67</v>
      </c>
      <c r="S319">
        <v>45</v>
      </c>
      <c r="T319" t="s">
        <v>69</v>
      </c>
      <c r="U319">
        <v>3</v>
      </c>
      <c r="V319">
        <v>23</v>
      </c>
      <c r="W319" t="s">
        <v>68</v>
      </c>
      <c r="X319" t="s">
        <v>68</v>
      </c>
      <c r="Y319" t="s">
        <v>71</v>
      </c>
      <c r="Z319" t="s">
        <v>108</v>
      </c>
    </row>
    <row r="320" spans="1:26" x14ac:dyDescent="0.2">
      <c r="A320" t="s">
        <v>845</v>
      </c>
      <c r="B320" t="s">
        <v>182</v>
      </c>
      <c r="C320" t="s">
        <v>89</v>
      </c>
      <c r="D320" t="s">
        <v>90</v>
      </c>
      <c r="E320" t="s">
        <v>846</v>
      </c>
      <c r="F320" t="s">
        <v>191</v>
      </c>
      <c r="G320" t="s">
        <v>215</v>
      </c>
      <c r="H320" t="s">
        <v>78</v>
      </c>
      <c r="I320" t="s">
        <v>93</v>
      </c>
      <c r="J320" s="3">
        <v>43969</v>
      </c>
      <c r="K320">
        <v>5.6</v>
      </c>
      <c r="L320">
        <v>26</v>
      </c>
      <c r="M320" s="4">
        <v>38000</v>
      </c>
      <c r="N320" s="4">
        <v>611329</v>
      </c>
      <c r="O320" t="s">
        <v>69</v>
      </c>
      <c r="P320" t="s">
        <v>69</v>
      </c>
      <c r="Q320">
        <v>2.9</v>
      </c>
      <c r="R320">
        <v>73</v>
      </c>
      <c r="S320">
        <v>35</v>
      </c>
      <c r="T320" t="s">
        <v>69</v>
      </c>
      <c r="U320">
        <v>3</v>
      </c>
      <c r="V320">
        <v>17</v>
      </c>
      <c r="W320" t="s">
        <v>69</v>
      </c>
      <c r="X320" t="s">
        <v>68</v>
      </c>
      <c r="Y320" t="s">
        <v>71</v>
      </c>
      <c r="Z320" t="s">
        <v>89</v>
      </c>
    </row>
    <row r="321" spans="1:26" x14ac:dyDescent="0.2">
      <c r="A321" t="s">
        <v>847</v>
      </c>
      <c r="B321" t="s">
        <v>848</v>
      </c>
      <c r="C321" t="s">
        <v>12</v>
      </c>
      <c r="D321" t="s">
        <v>421</v>
      </c>
      <c r="E321" t="s">
        <v>422</v>
      </c>
      <c r="F321" t="s">
        <v>77</v>
      </c>
      <c r="G321" t="s">
        <v>85</v>
      </c>
      <c r="H321" t="s">
        <v>78</v>
      </c>
      <c r="I321" t="s">
        <v>121</v>
      </c>
      <c r="J321" s="3">
        <v>44014</v>
      </c>
      <c r="K321">
        <v>5.5</v>
      </c>
      <c r="L321">
        <v>56</v>
      </c>
      <c r="M321" s="4">
        <v>11400</v>
      </c>
      <c r="N321" s="4">
        <v>163674</v>
      </c>
      <c r="O321" t="s">
        <v>68</v>
      </c>
      <c r="P321" t="s">
        <v>68</v>
      </c>
      <c r="Q321">
        <v>2.54</v>
      </c>
      <c r="R321">
        <v>57</v>
      </c>
      <c r="S321">
        <v>25</v>
      </c>
      <c r="T321" t="s">
        <v>69</v>
      </c>
      <c r="U321">
        <v>9</v>
      </c>
      <c r="V321">
        <v>36</v>
      </c>
      <c r="W321" t="s">
        <v>70</v>
      </c>
      <c r="X321" t="s">
        <v>68</v>
      </c>
      <c r="Y321" t="s">
        <v>86</v>
      </c>
      <c r="Z321" t="s">
        <v>12</v>
      </c>
    </row>
    <row r="322" spans="1:26" x14ac:dyDescent="0.2">
      <c r="A322" t="s">
        <v>849</v>
      </c>
      <c r="B322" t="s">
        <v>850</v>
      </c>
      <c r="C322" t="s">
        <v>133</v>
      </c>
      <c r="D322" t="s">
        <v>213</v>
      </c>
      <c r="E322" t="s">
        <v>851</v>
      </c>
      <c r="F322" t="s">
        <v>136</v>
      </c>
      <c r="G322" t="s">
        <v>65</v>
      </c>
      <c r="H322" t="s">
        <v>78</v>
      </c>
      <c r="I322" t="s">
        <v>67</v>
      </c>
      <c r="J322" s="3">
        <v>42554</v>
      </c>
      <c r="K322">
        <v>9.5</v>
      </c>
      <c r="L322">
        <v>39</v>
      </c>
      <c r="M322" s="4">
        <v>11200</v>
      </c>
      <c r="N322" s="4">
        <v>179133</v>
      </c>
      <c r="O322" t="s">
        <v>68</v>
      </c>
      <c r="P322" t="s">
        <v>68</v>
      </c>
      <c r="Q322">
        <v>3.18</v>
      </c>
      <c r="R322">
        <v>57</v>
      </c>
      <c r="S322">
        <v>15</v>
      </c>
      <c r="T322" t="s">
        <v>69</v>
      </c>
      <c r="U322">
        <v>0</v>
      </c>
      <c r="V322">
        <v>9</v>
      </c>
      <c r="W322" t="s">
        <v>70</v>
      </c>
      <c r="X322" t="s">
        <v>68</v>
      </c>
      <c r="Y322" t="s">
        <v>71</v>
      </c>
      <c r="Z322" t="s">
        <v>133</v>
      </c>
    </row>
    <row r="323" spans="1:26" x14ac:dyDescent="0.2">
      <c r="A323" t="s">
        <v>852</v>
      </c>
      <c r="B323" t="s">
        <v>853</v>
      </c>
      <c r="C323" t="s">
        <v>89</v>
      </c>
      <c r="D323" t="s">
        <v>239</v>
      </c>
      <c r="E323" t="s">
        <v>372</v>
      </c>
      <c r="F323" t="s">
        <v>120</v>
      </c>
      <c r="G323" t="s">
        <v>85</v>
      </c>
      <c r="H323" t="s">
        <v>66</v>
      </c>
      <c r="I323" t="s">
        <v>67</v>
      </c>
      <c r="J323" s="3">
        <v>43361</v>
      </c>
      <c r="K323">
        <v>7.3</v>
      </c>
      <c r="L323">
        <v>23</v>
      </c>
      <c r="M323" s="4">
        <v>6500</v>
      </c>
      <c r="N323" s="4">
        <v>106503</v>
      </c>
      <c r="O323" t="s">
        <v>69</v>
      </c>
      <c r="P323" t="s">
        <v>69</v>
      </c>
      <c r="Q323">
        <v>2.79</v>
      </c>
      <c r="R323">
        <v>62</v>
      </c>
      <c r="S323">
        <v>21</v>
      </c>
      <c r="T323" t="s">
        <v>68</v>
      </c>
      <c r="U323">
        <v>12</v>
      </c>
      <c r="V323">
        <v>28</v>
      </c>
      <c r="W323" t="s">
        <v>69</v>
      </c>
      <c r="X323" t="s">
        <v>68</v>
      </c>
      <c r="Y323" t="s">
        <v>71</v>
      </c>
      <c r="Z323" t="s">
        <v>89</v>
      </c>
    </row>
    <row r="324" spans="1:26" x14ac:dyDescent="0.2">
      <c r="A324" t="s">
        <v>854</v>
      </c>
      <c r="B324" t="s">
        <v>855</v>
      </c>
      <c r="C324" t="s">
        <v>96</v>
      </c>
      <c r="D324" t="s">
        <v>234</v>
      </c>
      <c r="E324" t="s">
        <v>235</v>
      </c>
      <c r="F324" t="s">
        <v>77</v>
      </c>
      <c r="G324" t="s">
        <v>65</v>
      </c>
      <c r="H324" t="s">
        <v>78</v>
      </c>
      <c r="I324" t="s">
        <v>121</v>
      </c>
      <c r="J324" s="3">
        <v>45437</v>
      </c>
      <c r="K324">
        <v>1.6</v>
      </c>
      <c r="L324">
        <v>25</v>
      </c>
      <c r="M324" s="4">
        <v>10800</v>
      </c>
      <c r="N324" s="4">
        <v>165645</v>
      </c>
      <c r="O324" t="s">
        <v>69</v>
      </c>
      <c r="P324" t="s">
        <v>69</v>
      </c>
      <c r="Q324">
        <v>2.92</v>
      </c>
      <c r="R324">
        <v>73</v>
      </c>
      <c r="S324">
        <v>4</v>
      </c>
      <c r="T324" t="s">
        <v>68</v>
      </c>
      <c r="U324">
        <v>2</v>
      </c>
      <c r="V324">
        <v>38</v>
      </c>
      <c r="W324" t="s">
        <v>69</v>
      </c>
      <c r="X324" t="s">
        <v>68</v>
      </c>
      <c r="Y324" t="s">
        <v>71</v>
      </c>
      <c r="Z324" t="s">
        <v>96</v>
      </c>
    </row>
    <row r="325" spans="1:26" x14ac:dyDescent="0.2">
      <c r="A325" t="s">
        <v>856</v>
      </c>
      <c r="B325" t="s">
        <v>176</v>
      </c>
      <c r="C325" t="s">
        <v>143</v>
      </c>
      <c r="D325" t="s">
        <v>552</v>
      </c>
      <c r="E325" t="s">
        <v>741</v>
      </c>
      <c r="F325" t="s">
        <v>77</v>
      </c>
      <c r="G325" t="s">
        <v>215</v>
      </c>
      <c r="H325" t="s">
        <v>78</v>
      </c>
      <c r="I325" t="s">
        <v>121</v>
      </c>
      <c r="J325" s="3">
        <v>45669</v>
      </c>
      <c r="K325">
        <v>1</v>
      </c>
      <c r="L325">
        <v>22</v>
      </c>
      <c r="M325" s="4">
        <v>11700</v>
      </c>
      <c r="N325" s="4">
        <v>190383</v>
      </c>
      <c r="O325" t="s">
        <v>68</v>
      </c>
      <c r="P325" t="s">
        <v>69</v>
      </c>
      <c r="Q325">
        <v>2.99</v>
      </c>
      <c r="R325">
        <v>69</v>
      </c>
      <c r="S325">
        <v>21</v>
      </c>
      <c r="T325" t="s">
        <v>69</v>
      </c>
      <c r="U325">
        <v>7</v>
      </c>
      <c r="V325">
        <v>0</v>
      </c>
      <c r="W325" t="s">
        <v>70</v>
      </c>
      <c r="X325" t="s">
        <v>68</v>
      </c>
      <c r="Y325" t="s">
        <v>71</v>
      </c>
      <c r="Z325" t="s">
        <v>143</v>
      </c>
    </row>
    <row r="326" spans="1:26" x14ac:dyDescent="0.2">
      <c r="A326" t="s">
        <v>857</v>
      </c>
      <c r="B326" t="s">
        <v>858</v>
      </c>
      <c r="C326" t="s">
        <v>102</v>
      </c>
      <c r="D326" t="s">
        <v>103</v>
      </c>
      <c r="E326" t="s">
        <v>458</v>
      </c>
      <c r="F326" t="s">
        <v>77</v>
      </c>
      <c r="G326" t="s">
        <v>65</v>
      </c>
      <c r="H326" t="s">
        <v>66</v>
      </c>
      <c r="I326" t="s">
        <v>111</v>
      </c>
      <c r="J326" s="3">
        <v>40941</v>
      </c>
      <c r="K326">
        <v>13.9</v>
      </c>
      <c r="L326">
        <v>24</v>
      </c>
      <c r="M326" s="4">
        <v>11300</v>
      </c>
      <c r="N326" s="4">
        <v>177409</v>
      </c>
      <c r="O326" t="s">
        <v>68</v>
      </c>
      <c r="P326" t="s">
        <v>69</v>
      </c>
      <c r="Q326">
        <v>3.63</v>
      </c>
      <c r="R326">
        <v>57</v>
      </c>
      <c r="S326">
        <v>12</v>
      </c>
      <c r="T326" t="s">
        <v>69</v>
      </c>
      <c r="U326">
        <v>5</v>
      </c>
      <c r="V326">
        <v>26</v>
      </c>
      <c r="W326" t="s">
        <v>70</v>
      </c>
      <c r="X326" t="s">
        <v>69</v>
      </c>
      <c r="Y326" t="s">
        <v>71</v>
      </c>
      <c r="Z326" t="s">
        <v>102</v>
      </c>
    </row>
    <row r="327" spans="1:26" x14ac:dyDescent="0.2">
      <c r="A327" t="s">
        <v>859</v>
      </c>
      <c r="B327" t="s">
        <v>860</v>
      </c>
      <c r="C327" t="s">
        <v>143</v>
      </c>
      <c r="D327" t="s">
        <v>207</v>
      </c>
      <c r="E327" t="s">
        <v>705</v>
      </c>
      <c r="F327" t="s">
        <v>136</v>
      </c>
      <c r="G327" t="s">
        <v>65</v>
      </c>
      <c r="H327" t="s">
        <v>78</v>
      </c>
      <c r="I327" t="s">
        <v>111</v>
      </c>
      <c r="J327" s="3">
        <v>41240</v>
      </c>
      <c r="K327">
        <v>13.1</v>
      </c>
      <c r="L327">
        <v>45</v>
      </c>
      <c r="M327" s="4">
        <v>13900</v>
      </c>
      <c r="N327" s="4">
        <v>224905</v>
      </c>
      <c r="O327" t="s">
        <v>69</v>
      </c>
      <c r="P327" t="s">
        <v>69</v>
      </c>
      <c r="Q327">
        <v>3.36</v>
      </c>
      <c r="R327">
        <v>68</v>
      </c>
      <c r="S327">
        <v>17</v>
      </c>
      <c r="T327" t="s">
        <v>68</v>
      </c>
      <c r="U327">
        <v>0</v>
      </c>
      <c r="V327">
        <v>14</v>
      </c>
      <c r="W327" t="s">
        <v>69</v>
      </c>
      <c r="X327" t="s">
        <v>68</v>
      </c>
      <c r="Y327" t="s">
        <v>71</v>
      </c>
      <c r="Z327" t="s">
        <v>143</v>
      </c>
    </row>
    <row r="328" spans="1:26" x14ac:dyDescent="0.2">
      <c r="A328" t="s">
        <v>861</v>
      </c>
      <c r="B328" t="s">
        <v>324</v>
      </c>
      <c r="C328" t="s">
        <v>133</v>
      </c>
      <c r="D328" t="s">
        <v>213</v>
      </c>
      <c r="E328" t="s">
        <v>862</v>
      </c>
      <c r="F328" t="s">
        <v>84</v>
      </c>
      <c r="G328" t="s">
        <v>215</v>
      </c>
      <c r="H328" t="s">
        <v>78</v>
      </c>
      <c r="I328" t="s">
        <v>236</v>
      </c>
      <c r="J328" s="3">
        <v>41132</v>
      </c>
      <c r="K328">
        <v>13.4</v>
      </c>
      <c r="L328">
        <v>55</v>
      </c>
      <c r="M328" s="4">
        <v>14900</v>
      </c>
      <c r="N328" s="4">
        <v>219403</v>
      </c>
      <c r="O328" t="s">
        <v>69</v>
      </c>
      <c r="P328" t="s">
        <v>69</v>
      </c>
      <c r="Q328">
        <v>2.79</v>
      </c>
      <c r="R328">
        <v>62</v>
      </c>
      <c r="S328">
        <v>34</v>
      </c>
      <c r="T328" t="s">
        <v>69</v>
      </c>
      <c r="U328">
        <v>7</v>
      </c>
      <c r="V328">
        <v>15</v>
      </c>
      <c r="W328" t="s">
        <v>69</v>
      </c>
      <c r="X328" t="s">
        <v>68</v>
      </c>
      <c r="Y328" t="s">
        <v>71</v>
      </c>
      <c r="Z328" t="s">
        <v>133</v>
      </c>
    </row>
    <row r="329" spans="1:26" x14ac:dyDescent="0.2">
      <c r="A329" t="s">
        <v>863</v>
      </c>
      <c r="B329" t="s">
        <v>864</v>
      </c>
      <c r="C329" t="s">
        <v>133</v>
      </c>
      <c r="D329" t="s">
        <v>15</v>
      </c>
      <c r="E329" t="s">
        <v>343</v>
      </c>
      <c r="F329" t="s">
        <v>120</v>
      </c>
      <c r="G329" t="s">
        <v>85</v>
      </c>
      <c r="H329" t="s">
        <v>78</v>
      </c>
      <c r="I329" t="s">
        <v>111</v>
      </c>
      <c r="J329" s="3">
        <v>44318</v>
      </c>
      <c r="K329">
        <v>4.7</v>
      </c>
      <c r="L329">
        <v>36</v>
      </c>
      <c r="M329" s="4">
        <v>8200</v>
      </c>
      <c r="N329" s="4">
        <v>116594</v>
      </c>
      <c r="O329" t="s">
        <v>68</v>
      </c>
      <c r="P329" t="s">
        <v>68</v>
      </c>
      <c r="Q329">
        <v>3.74</v>
      </c>
      <c r="R329">
        <v>68</v>
      </c>
      <c r="S329">
        <v>37</v>
      </c>
      <c r="T329" t="s">
        <v>69</v>
      </c>
      <c r="U329">
        <v>9</v>
      </c>
      <c r="V329">
        <v>0</v>
      </c>
      <c r="W329" t="s">
        <v>70</v>
      </c>
      <c r="X329" t="s">
        <v>69</v>
      </c>
      <c r="Y329" t="s">
        <v>71</v>
      </c>
      <c r="Z329" t="s">
        <v>133</v>
      </c>
    </row>
    <row r="330" spans="1:26" x14ac:dyDescent="0.2">
      <c r="A330" t="s">
        <v>865</v>
      </c>
      <c r="B330" t="s">
        <v>866</v>
      </c>
      <c r="C330" t="s">
        <v>108</v>
      </c>
      <c r="D330" t="s">
        <v>222</v>
      </c>
      <c r="E330" t="s">
        <v>378</v>
      </c>
      <c r="F330" t="s">
        <v>77</v>
      </c>
      <c r="G330" t="s">
        <v>65</v>
      </c>
      <c r="H330" t="s">
        <v>78</v>
      </c>
      <c r="I330" t="s">
        <v>111</v>
      </c>
      <c r="J330" s="3">
        <v>44688</v>
      </c>
      <c r="K330">
        <v>3.7</v>
      </c>
      <c r="L330">
        <v>43</v>
      </c>
      <c r="M330" s="4">
        <v>9400</v>
      </c>
      <c r="N330" s="4">
        <v>149087</v>
      </c>
      <c r="O330" t="s">
        <v>68</v>
      </c>
      <c r="P330" t="s">
        <v>69</v>
      </c>
      <c r="Q330">
        <v>3.25</v>
      </c>
      <c r="R330">
        <v>68</v>
      </c>
      <c r="S330">
        <v>19</v>
      </c>
      <c r="T330" t="s">
        <v>69</v>
      </c>
      <c r="U330">
        <v>2</v>
      </c>
      <c r="V330">
        <v>33</v>
      </c>
      <c r="W330" t="s">
        <v>70</v>
      </c>
      <c r="X330" t="s">
        <v>68</v>
      </c>
      <c r="Y330" t="s">
        <v>71</v>
      </c>
      <c r="Z330" t="s">
        <v>108</v>
      </c>
    </row>
    <row r="331" spans="1:26" x14ac:dyDescent="0.2">
      <c r="A331" t="s">
        <v>867</v>
      </c>
      <c r="B331" t="s">
        <v>868</v>
      </c>
      <c r="C331" t="s">
        <v>89</v>
      </c>
      <c r="D331" t="s">
        <v>154</v>
      </c>
      <c r="E331" t="s">
        <v>325</v>
      </c>
      <c r="F331" t="s">
        <v>64</v>
      </c>
      <c r="G331" t="s">
        <v>65</v>
      </c>
      <c r="H331" t="s">
        <v>66</v>
      </c>
      <c r="I331" t="s">
        <v>148</v>
      </c>
      <c r="J331" s="3">
        <v>43324</v>
      </c>
      <c r="K331">
        <v>7.4</v>
      </c>
      <c r="L331">
        <v>22</v>
      </c>
      <c r="M331" s="4">
        <v>5400</v>
      </c>
      <c r="N331" s="4">
        <v>78415</v>
      </c>
      <c r="O331" t="s">
        <v>68</v>
      </c>
      <c r="P331" t="s">
        <v>69</v>
      </c>
      <c r="Q331">
        <v>3.24</v>
      </c>
      <c r="R331">
        <v>58</v>
      </c>
      <c r="S331">
        <v>29</v>
      </c>
      <c r="T331" t="s">
        <v>69</v>
      </c>
      <c r="U331">
        <v>2</v>
      </c>
      <c r="V331">
        <v>46</v>
      </c>
      <c r="W331" t="s">
        <v>70</v>
      </c>
      <c r="X331" t="s">
        <v>68</v>
      </c>
      <c r="Y331" t="s">
        <v>86</v>
      </c>
      <c r="Z331" t="s">
        <v>89</v>
      </c>
    </row>
    <row r="332" spans="1:26" x14ac:dyDescent="0.2">
      <c r="A332" t="s">
        <v>869</v>
      </c>
      <c r="B332" t="s">
        <v>528</v>
      </c>
      <c r="C332" t="s">
        <v>102</v>
      </c>
      <c r="D332" t="s">
        <v>103</v>
      </c>
      <c r="E332" t="s">
        <v>104</v>
      </c>
      <c r="F332" t="s">
        <v>92</v>
      </c>
      <c r="G332" t="s">
        <v>65</v>
      </c>
      <c r="H332" t="s">
        <v>66</v>
      </c>
      <c r="I332" t="s">
        <v>236</v>
      </c>
      <c r="J332" s="3">
        <v>42504</v>
      </c>
      <c r="K332">
        <v>9.6</v>
      </c>
      <c r="L332">
        <v>28</v>
      </c>
      <c r="M332" s="4">
        <v>4300</v>
      </c>
      <c r="N332" s="4">
        <v>70943</v>
      </c>
      <c r="O332" t="s">
        <v>68</v>
      </c>
      <c r="P332" t="s">
        <v>69</v>
      </c>
      <c r="Q332">
        <v>2.69</v>
      </c>
      <c r="R332">
        <v>56</v>
      </c>
      <c r="S332">
        <v>9</v>
      </c>
      <c r="T332" t="s">
        <v>68</v>
      </c>
      <c r="U332">
        <v>12</v>
      </c>
      <c r="V332">
        <v>22</v>
      </c>
      <c r="W332" t="s">
        <v>70</v>
      </c>
      <c r="X332" t="s">
        <v>68</v>
      </c>
      <c r="Y332" t="s">
        <v>86</v>
      </c>
      <c r="Z332" t="s">
        <v>102</v>
      </c>
    </row>
    <row r="333" spans="1:26" x14ac:dyDescent="0.2">
      <c r="A333" t="s">
        <v>870</v>
      </c>
      <c r="B333" t="s">
        <v>332</v>
      </c>
      <c r="C333" t="s">
        <v>74</v>
      </c>
      <c r="D333" t="s">
        <v>118</v>
      </c>
      <c r="E333" t="s">
        <v>530</v>
      </c>
      <c r="F333" t="s">
        <v>136</v>
      </c>
      <c r="G333" t="s">
        <v>65</v>
      </c>
      <c r="H333" t="s">
        <v>78</v>
      </c>
      <c r="I333" t="s">
        <v>79</v>
      </c>
      <c r="J333" s="3">
        <v>41289</v>
      </c>
      <c r="K333">
        <v>13</v>
      </c>
      <c r="L333">
        <v>27</v>
      </c>
      <c r="M333" s="4">
        <v>13700</v>
      </c>
      <c r="N333" s="4">
        <v>225777</v>
      </c>
      <c r="O333" t="s">
        <v>68</v>
      </c>
      <c r="P333" t="s">
        <v>69</v>
      </c>
      <c r="Q333">
        <v>2.77</v>
      </c>
      <c r="R333">
        <v>65</v>
      </c>
      <c r="S333">
        <v>27</v>
      </c>
      <c r="T333" t="s">
        <v>69</v>
      </c>
      <c r="U333">
        <v>8</v>
      </c>
      <c r="V333">
        <v>46</v>
      </c>
      <c r="W333" t="s">
        <v>70</v>
      </c>
      <c r="X333" t="s">
        <v>68</v>
      </c>
      <c r="Y333" t="s">
        <v>71</v>
      </c>
      <c r="Z333" t="s">
        <v>74</v>
      </c>
    </row>
    <row r="334" spans="1:26" x14ac:dyDescent="0.2">
      <c r="A334" t="s">
        <v>871</v>
      </c>
      <c r="B334" t="s">
        <v>649</v>
      </c>
      <c r="C334" t="s">
        <v>89</v>
      </c>
      <c r="D334" t="s">
        <v>239</v>
      </c>
      <c r="E334" t="s">
        <v>240</v>
      </c>
      <c r="F334" t="s">
        <v>92</v>
      </c>
      <c r="G334" t="s">
        <v>65</v>
      </c>
      <c r="H334" t="s">
        <v>66</v>
      </c>
      <c r="I334" t="s">
        <v>121</v>
      </c>
      <c r="J334" s="3">
        <v>41498</v>
      </c>
      <c r="K334">
        <v>12.4</v>
      </c>
      <c r="L334">
        <v>57</v>
      </c>
      <c r="M334" s="4">
        <v>4500</v>
      </c>
      <c r="N334" s="4">
        <v>72940</v>
      </c>
      <c r="O334" t="s">
        <v>68</v>
      </c>
      <c r="P334" t="s">
        <v>69</v>
      </c>
      <c r="Q334">
        <v>3.83</v>
      </c>
      <c r="R334">
        <v>77</v>
      </c>
      <c r="S334">
        <v>16</v>
      </c>
      <c r="T334" t="s">
        <v>69</v>
      </c>
      <c r="U334">
        <v>4</v>
      </c>
      <c r="V334">
        <v>8</v>
      </c>
      <c r="W334" t="s">
        <v>70</v>
      </c>
      <c r="X334" t="s">
        <v>69</v>
      </c>
      <c r="Y334" t="s">
        <v>71</v>
      </c>
      <c r="Z334" t="s">
        <v>89</v>
      </c>
    </row>
    <row r="335" spans="1:26" x14ac:dyDescent="0.2">
      <c r="A335" t="s">
        <v>872</v>
      </c>
      <c r="B335" t="s">
        <v>873</v>
      </c>
      <c r="C335" t="s">
        <v>89</v>
      </c>
      <c r="D335" t="s">
        <v>239</v>
      </c>
      <c r="E335" t="s">
        <v>580</v>
      </c>
      <c r="F335" t="s">
        <v>77</v>
      </c>
      <c r="G335" t="s">
        <v>65</v>
      </c>
      <c r="H335" t="s">
        <v>66</v>
      </c>
      <c r="I335" t="s">
        <v>455</v>
      </c>
      <c r="J335" s="3">
        <v>44688</v>
      </c>
      <c r="K335">
        <v>3.7</v>
      </c>
      <c r="L335">
        <v>23</v>
      </c>
      <c r="M335" s="4">
        <v>10000</v>
      </c>
      <c r="N335" s="4">
        <v>146564</v>
      </c>
      <c r="O335" t="s">
        <v>68</v>
      </c>
      <c r="P335" t="s">
        <v>69</v>
      </c>
      <c r="Q335">
        <v>3.14</v>
      </c>
      <c r="R335">
        <v>61</v>
      </c>
      <c r="S335">
        <v>19</v>
      </c>
      <c r="T335" t="s">
        <v>68</v>
      </c>
      <c r="U335">
        <v>8</v>
      </c>
      <c r="V335">
        <v>26</v>
      </c>
      <c r="W335" t="s">
        <v>70</v>
      </c>
      <c r="X335" t="s">
        <v>68</v>
      </c>
      <c r="Y335" t="s">
        <v>71</v>
      </c>
      <c r="Z335" t="s">
        <v>89</v>
      </c>
    </row>
    <row r="336" spans="1:26" x14ac:dyDescent="0.2">
      <c r="A336" t="s">
        <v>874</v>
      </c>
      <c r="B336" t="s">
        <v>875</v>
      </c>
      <c r="C336" t="s">
        <v>124</v>
      </c>
      <c r="D336" t="s">
        <v>391</v>
      </c>
      <c r="E336" t="s">
        <v>392</v>
      </c>
      <c r="F336" t="s">
        <v>77</v>
      </c>
      <c r="G336" t="s">
        <v>65</v>
      </c>
      <c r="H336" t="s">
        <v>78</v>
      </c>
      <c r="I336" t="s">
        <v>148</v>
      </c>
      <c r="J336" s="3">
        <v>41604</v>
      </c>
      <c r="K336">
        <v>12.1</v>
      </c>
      <c r="L336">
        <v>32</v>
      </c>
      <c r="M336" s="4">
        <v>10500</v>
      </c>
      <c r="N336" s="4">
        <v>162211</v>
      </c>
      <c r="O336" t="s">
        <v>68</v>
      </c>
      <c r="P336" t="s">
        <v>68</v>
      </c>
      <c r="Q336">
        <v>3.87</v>
      </c>
      <c r="R336">
        <v>75</v>
      </c>
      <c r="S336">
        <v>22</v>
      </c>
      <c r="T336" t="s">
        <v>69</v>
      </c>
      <c r="U336">
        <v>4</v>
      </c>
      <c r="V336">
        <v>0</v>
      </c>
      <c r="W336" t="s">
        <v>70</v>
      </c>
      <c r="X336" t="s">
        <v>69</v>
      </c>
      <c r="Y336" t="s">
        <v>71</v>
      </c>
      <c r="Z336" t="s">
        <v>124</v>
      </c>
    </row>
    <row r="337" spans="1:26" x14ac:dyDescent="0.2">
      <c r="A337" t="s">
        <v>876</v>
      </c>
      <c r="B337" t="s">
        <v>365</v>
      </c>
      <c r="C337" t="s">
        <v>102</v>
      </c>
      <c r="D337" t="s">
        <v>166</v>
      </c>
      <c r="E337" t="s">
        <v>686</v>
      </c>
      <c r="F337" t="s">
        <v>64</v>
      </c>
      <c r="G337" t="s">
        <v>65</v>
      </c>
      <c r="H337" t="s">
        <v>66</v>
      </c>
      <c r="I337" t="s">
        <v>67</v>
      </c>
      <c r="J337" s="3">
        <v>44250</v>
      </c>
      <c r="K337">
        <v>4.9000000000000004</v>
      </c>
      <c r="L337">
        <v>46</v>
      </c>
      <c r="M337" s="4">
        <v>7000</v>
      </c>
      <c r="N337" s="4">
        <v>110097</v>
      </c>
      <c r="O337" t="s">
        <v>68</v>
      </c>
      <c r="P337" t="s">
        <v>69</v>
      </c>
      <c r="Q337">
        <v>2.91</v>
      </c>
      <c r="R337">
        <v>35</v>
      </c>
      <c r="S337">
        <v>45</v>
      </c>
      <c r="T337" t="s">
        <v>69</v>
      </c>
      <c r="U337">
        <v>8</v>
      </c>
      <c r="V337">
        <v>0</v>
      </c>
      <c r="W337" t="s">
        <v>70</v>
      </c>
      <c r="X337" t="s">
        <v>68</v>
      </c>
      <c r="Y337" t="s">
        <v>86</v>
      </c>
      <c r="Z337" t="s">
        <v>102</v>
      </c>
    </row>
    <row r="338" spans="1:26" x14ac:dyDescent="0.2">
      <c r="A338" t="s">
        <v>877</v>
      </c>
      <c r="B338" t="s">
        <v>150</v>
      </c>
      <c r="C338" t="s">
        <v>96</v>
      </c>
      <c r="D338" t="s">
        <v>129</v>
      </c>
      <c r="E338" t="s">
        <v>562</v>
      </c>
      <c r="F338" t="s">
        <v>77</v>
      </c>
      <c r="G338" t="s">
        <v>65</v>
      </c>
      <c r="H338" t="s">
        <v>78</v>
      </c>
      <c r="I338" t="s">
        <v>121</v>
      </c>
      <c r="J338" s="3">
        <v>44634</v>
      </c>
      <c r="K338">
        <v>3.8</v>
      </c>
      <c r="L338">
        <v>43</v>
      </c>
      <c r="M338" s="4">
        <v>9600</v>
      </c>
      <c r="N338" s="4">
        <v>142632</v>
      </c>
      <c r="O338" t="s">
        <v>68</v>
      </c>
      <c r="P338" t="s">
        <v>69</v>
      </c>
      <c r="Q338">
        <v>2.82</v>
      </c>
      <c r="R338">
        <v>67</v>
      </c>
      <c r="S338">
        <v>31</v>
      </c>
      <c r="T338" t="s">
        <v>69</v>
      </c>
      <c r="U338">
        <v>1</v>
      </c>
      <c r="V338">
        <v>0</v>
      </c>
      <c r="W338" t="s">
        <v>70</v>
      </c>
      <c r="X338" t="s">
        <v>68</v>
      </c>
      <c r="Y338" t="s">
        <v>71</v>
      </c>
      <c r="Z338" t="s">
        <v>96</v>
      </c>
    </row>
    <row r="339" spans="1:26" x14ac:dyDescent="0.2">
      <c r="A339" t="s">
        <v>878</v>
      </c>
      <c r="B339" t="s">
        <v>785</v>
      </c>
      <c r="C339" t="s">
        <v>102</v>
      </c>
      <c r="D339" t="s">
        <v>166</v>
      </c>
      <c r="E339" t="s">
        <v>879</v>
      </c>
      <c r="F339" t="s">
        <v>120</v>
      </c>
      <c r="G339" t="s">
        <v>215</v>
      </c>
      <c r="H339" t="s">
        <v>66</v>
      </c>
      <c r="I339" t="s">
        <v>554</v>
      </c>
      <c r="J339" s="3">
        <v>41133</v>
      </c>
      <c r="K339">
        <v>13.4</v>
      </c>
      <c r="L339">
        <v>39</v>
      </c>
      <c r="M339" s="4">
        <v>7000</v>
      </c>
      <c r="N339" s="4">
        <v>99710</v>
      </c>
      <c r="O339" t="s">
        <v>68</v>
      </c>
      <c r="P339" t="s">
        <v>69</v>
      </c>
      <c r="Q339">
        <v>3.33</v>
      </c>
      <c r="R339">
        <v>59</v>
      </c>
      <c r="S339">
        <v>8</v>
      </c>
      <c r="T339" t="s">
        <v>68</v>
      </c>
      <c r="U339">
        <v>7</v>
      </c>
      <c r="V339">
        <v>49</v>
      </c>
      <c r="W339" t="s">
        <v>70</v>
      </c>
      <c r="X339" t="s">
        <v>68</v>
      </c>
      <c r="Y339" t="s">
        <v>86</v>
      </c>
      <c r="Z339" t="s">
        <v>102</v>
      </c>
    </row>
    <row r="340" spans="1:26" x14ac:dyDescent="0.2">
      <c r="A340" t="s">
        <v>880</v>
      </c>
      <c r="B340" t="s">
        <v>165</v>
      </c>
      <c r="C340" t="s">
        <v>102</v>
      </c>
      <c r="D340" t="s">
        <v>339</v>
      </c>
      <c r="E340" t="s">
        <v>472</v>
      </c>
      <c r="F340" t="s">
        <v>64</v>
      </c>
      <c r="G340" t="s">
        <v>65</v>
      </c>
      <c r="H340" t="s">
        <v>78</v>
      </c>
      <c r="I340" t="s">
        <v>236</v>
      </c>
      <c r="J340" s="3">
        <v>41791</v>
      </c>
      <c r="K340">
        <v>11.6</v>
      </c>
      <c r="L340">
        <v>30</v>
      </c>
      <c r="M340" s="4">
        <v>6900</v>
      </c>
      <c r="N340" s="4">
        <v>106348</v>
      </c>
      <c r="O340" t="s">
        <v>68</v>
      </c>
      <c r="P340" t="s">
        <v>69</v>
      </c>
      <c r="Q340">
        <v>3.45</v>
      </c>
      <c r="R340">
        <v>61</v>
      </c>
      <c r="S340">
        <v>31</v>
      </c>
      <c r="T340" t="s">
        <v>69</v>
      </c>
      <c r="U340">
        <v>4</v>
      </c>
      <c r="V340">
        <v>23</v>
      </c>
      <c r="W340" t="s">
        <v>70</v>
      </c>
      <c r="X340" t="s">
        <v>68</v>
      </c>
      <c r="Y340" t="s">
        <v>86</v>
      </c>
      <c r="Z340" t="s">
        <v>102</v>
      </c>
    </row>
    <row r="341" spans="1:26" x14ac:dyDescent="0.2">
      <c r="A341" t="s">
        <v>881</v>
      </c>
      <c r="B341" t="s">
        <v>882</v>
      </c>
      <c r="C341" t="s">
        <v>133</v>
      </c>
      <c r="D341" t="s">
        <v>287</v>
      </c>
      <c r="E341" t="s">
        <v>288</v>
      </c>
      <c r="F341" t="s">
        <v>64</v>
      </c>
      <c r="G341" t="s">
        <v>227</v>
      </c>
      <c r="H341" t="s">
        <v>78</v>
      </c>
      <c r="I341" t="s">
        <v>148</v>
      </c>
      <c r="J341" s="3">
        <v>40941</v>
      </c>
      <c r="K341">
        <v>13.9</v>
      </c>
      <c r="L341">
        <v>57</v>
      </c>
      <c r="M341" s="4">
        <v>5600</v>
      </c>
      <c r="N341" s="4">
        <v>90333</v>
      </c>
      <c r="O341" t="s">
        <v>68</v>
      </c>
      <c r="P341" t="s">
        <v>68</v>
      </c>
      <c r="Q341">
        <v>2.74</v>
      </c>
      <c r="R341">
        <v>42</v>
      </c>
      <c r="S341">
        <v>36</v>
      </c>
      <c r="T341" t="s">
        <v>68</v>
      </c>
      <c r="U341">
        <v>8</v>
      </c>
      <c r="V341">
        <v>0</v>
      </c>
      <c r="W341" t="s">
        <v>70</v>
      </c>
      <c r="X341" t="s">
        <v>68</v>
      </c>
      <c r="Y341" t="s">
        <v>86</v>
      </c>
      <c r="Z341" t="s">
        <v>133</v>
      </c>
    </row>
    <row r="342" spans="1:26" x14ac:dyDescent="0.2">
      <c r="A342" t="s">
        <v>883</v>
      </c>
      <c r="B342" t="s">
        <v>884</v>
      </c>
      <c r="C342" t="s">
        <v>108</v>
      </c>
      <c r="D342" t="s">
        <v>109</v>
      </c>
      <c r="E342" t="s">
        <v>600</v>
      </c>
      <c r="F342" t="s">
        <v>120</v>
      </c>
      <c r="G342" t="s">
        <v>215</v>
      </c>
      <c r="H342" t="s">
        <v>78</v>
      </c>
      <c r="I342" t="s">
        <v>554</v>
      </c>
      <c r="J342" s="3">
        <v>42454</v>
      </c>
      <c r="K342">
        <v>9.8000000000000007</v>
      </c>
      <c r="L342">
        <v>56</v>
      </c>
      <c r="M342" s="4">
        <v>7600</v>
      </c>
      <c r="N342" s="4">
        <v>118580</v>
      </c>
      <c r="O342" t="s">
        <v>68</v>
      </c>
      <c r="P342" t="s">
        <v>69</v>
      </c>
      <c r="Q342">
        <v>2.97</v>
      </c>
      <c r="R342">
        <v>67</v>
      </c>
      <c r="S342">
        <v>27</v>
      </c>
      <c r="T342" t="s">
        <v>69</v>
      </c>
      <c r="U342">
        <v>4</v>
      </c>
      <c r="V342">
        <v>53</v>
      </c>
      <c r="W342" t="s">
        <v>70</v>
      </c>
      <c r="X342" t="s">
        <v>68</v>
      </c>
      <c r="Y342" t="s">
        <v>86</v>
      </c>
      <c r="Z342" t="s">
        <v>108</v>
      </c>
    </row>
    <row r="343" spans="1:26" x14ac:dyDescent="0.2">
      <c r="A343" t="s">
        <v>885</v>
      </c>
      <c r="B343" t="s">
        <v>886</v>
      </c>
      <c r="C343" t="s">
        <v>89</v>
      </c>
      <c r="D343" t="s">
        <v>154</v>
      </c>
      <c r="E343" t="s">
        <v>887</v>
      </c>
      <c r="F343" t="s">
        <v>84</v>
      </c>
      <c r="G343" t="s">
        <v>65</v>
      </c>
      <c r="H343" t="s">
        <v>78</v>
      </c>
      <c r="I343" t="s">
        <v>148</v>
      </c>
      <c r="J343" s="3">
        <v>41018</v>
      </c>
      <c r="K343">
        <v>13.7</v>
      </c>
      <c r="L343">
        <v>27</v>
      </c>
      <c r="M343" s="4">
        <v>17000</v>
      </c>
      <c r="N343" s="4">
        <v>253367</v>
      </c>
      <c r="O343" t="s">
        <v>69</v>
      </c>
      <c r="P343" t="s">
        <v>69</v>
      </c>
      <c r="Q343">
        <v>2.06</v>
      </c>
      <c r="R343">
        <v>59</v>
      </c>
      <c r="S343">
        <v>53</v>
      </c>
      <c r="T343" t="s">
        <v>69</v>
      </c>
      <c r="U343">
        <v>1</v>
      </c>
      <c r="V343">
        <v>27</v>
      </c>
      <c r="W343" t="s">
        <v>68</v>
      </c>
      <c r="X343" t="s">
        <v>68</v>
      </c>
      <c r="Y343" t="s">
        <v>71</v>
      </c>
      <c r="Z343" t="s">
        <v>89</v>
      </c>
    </row>
    <row r="344" spans="1:26" x14ac:dyDescent="0.2">
      <c r="A344" t="s">
        <v>888</v>
      </c>
      <c r="B344" t="s">
        <v>889</v>
      </c>
      <c r="C344" t="s">
        <v>133</v>
      </c>
      <c r="D344" t="s">
        <v>15</v>
      </c>
      <c r="E344" t="s">
        <v>890</v>
      </c>
      <c r="F344" t="s">
        <v>77</v>
      </c>
      <c r="G344" t="s">
        <v>85</v>
      </c>
      <c r="H344" t="s">
        <v>66</v>
      </c>
      <c r="I344" t="s">
        <v>67</v>
      </c>
      <c r="J344" s="3">
        <v>43482</v>
      </c>
      <c r="K344">
        <v>7</v>
      </c>
      <c r="L344">
        <v>34</v>
      </c>
      <c r="M344" s="4">
        <v>10300</v>
      </c>
      <c r="N344" s="4">
        <v>165390</v>
      </c>
      <c r="O344" t="s">
        <v>69</v>
      </c>
      <c r="P344" t="s">
        <v>68</v>
      </c>
      <c r="Q344">
        <v>2.76</v>
      </c>
      <c r="R344">
        <v>79</v>
      </c>
      <c r="S344">
        <v>43</v>
      </c>
      <c r="T344" t="s">
        <v>69</v>
      </c>
      <c r="U344">
        <v>6</v>
      </c>
      <c r="V344">
        <v>21</v>
      </c>
      <c r="W344" t="s">
        <v>69</v>
      </c>
      <c r="X344" t="s">
        <v>68</v>
      </c>
      <c r="Y344" t="s">
        <v>71</v>
      </c>
      <c r="Z344" t="s">
        <v>133</v>
      </c>
    </row>
    <row r="345" spans="1:26" x14ac:dyDescent="0.2">
      <c r="A345" t="s">
        <v>891</v>
      </c>
      <c r="B345" t="s">
        <v>674</v>
      </c>
      <c r="C345" t="s">
        <v>89</v>
      </c>
      <c r="D345" t="s">
        <v>90</v>
      </c>
      <c r="E345" t="s">
        <v>348</v>
      </c>
      <c r="F345" t="s">
        <v>77</v>
      </c>
      <c r="G345" t="s">
        <v>65</v>
      </c>
      <c r="H345" t="s">
        <v>66</v>
      </c>
      <c r="I345" t="s">
        <v>111</v>
      </c>
      <c r="J345" s="3">
        <v>40965</v>
      </c>
      <c r="K345">
        <v>13.9</v>
      </c>
      <c r="L345">
        <v>51</v>
      </c>
      <c r="M345" s="4">
        <v>12000</v>
      </c>
      <c r="N345" s="4">
        <v>189624</v>
      </c>
      <c r="O345" t="s">
        <v>68</v>
      </c>
      <c r="P345" t="s">
        <v>69</v>
      </c>
      <c r="Q345">
        <v>3.16</v>
      </c>
      <c r="R345">
        <v>76</v>
      </c>
      <c r="S345">
        <v>41</v>
      </c>
      <c r="T345" t="s">
        <v>69</v>
      </c>
      <c r="U345">
        <v>3</v>
      </c>
      <c r="V345">
        <v>50</v>
      </c>
      <c r="W345" t="s">
        <v>70</v>
      </c>
      <c r="X345" t="s">
        <v>68</v>
      </c>
      <c r="Y345" t="s">
        <v>71</v>
      </c>
      <c r="Z345" t="s">
        <v>89</v>
      </c>
    </row>
    <row r="346" spans="1:26" x14ac:dyDescent="0.2">
      <c r="A346" t="s">
        <v>892</v>
      </c>
      <c r="B346" t="s">
        <v>383</v>
      </c>
      <c r="C346" t="s">
        <v>89</v>
      </c>
      <c r="D346" t="s">
        <v>239</v>
      </c>
      <c r="E346" t="s">
        <v>580</v>
      </c>
      <c r="F346" t="s">
        <v>77</v>
      </c>
      <c r="G346" t="s">
        <v>65</v>
      </c>
      <c r="H346" t="s">
        <v>78</v>
      </c>
      <c r="I346" t="s">
        <v>99</v>
      </c>
      <c r="J346" s="3">
        <v>45089</v>
      </c>
      <c r="K346">
        <v>2.6</v>
      </c>
      <c r="L346">
        <v>43</v>
      </c>
      <c r="M346" s="4">
        <v>10800</v>
      </c>
      <c r="N346" s="4">
        <v>157841</v>
      </c>
      <c r="O346" t="s">
        <v>68</v>
      </c>
      <c r="P346" t="s">
        <v>69</v>
      </c>
      <c r="Q346">
        <v>2.78</v>
      </c>
      <c r="R346">
        <v>41</v>
      </c>
      <c r="S346">
        <v>3</v>
      </c>
      <c r="T346" t="s">
        <v>68</v>
      </c>
      <c r="U346">
        <v>4</v>
      </c>
      <c r="V346">
        <v>13</v>
      </c>
      <c r="W346" t="s">
        <v>70</v>
      </c>
      <c r="X346" t="s">
        <v>68</v>
      </c>
      <c r="Y346" t="s">
        <v>86</v>
      </c>
      <c r="Z346" t="s">
        <v>89</v>
      </c>
    </row>
    <row r="347" spans="1:26" x14ac:dyDescent="0.2">
      <c r="A347" t="s">
        <v>893</v>
      </c>
      <c r="B347" t="s">
        <v>894</v>
      </c>
      <c r="C347" t="s">
        <v>89</v>
      </c>
      <c r="D347" t="s">
        <v>230</v>
      </c>
      <c r="E347" t="s">
        <v>505</v>
      </c>
      <c r="F347" t="s">
        <v>77</v>
      </c>
      <c r="G347" t="s">
        <v>65</v>
      </c>
      <c r="H347" t="s">
        <v>78</v>
      </c>
      <c r="I347" t="s">
        <v>67</v>
      </c>
      <c r="J347" s="3">
        <v>41798</v>
      </c>
      <c r="K347">
        <v>11.6</v>
      </c>
      <c r="L347">
        <v>23</v>
      </c>
      <c r="M347" s="4">
        <v>10500</v>
      </c>
      <c r="N347" s="4">
        <v>168321</v>
      </c>
      <c r="O347" t="s">
        <v>68</v>
      </c>
      <c r="P347" t="s">
        <v>69</v>
      </c>
      <c r="Q347">
        <v>3.33</v>
      </c>
      <c r="R347">
        <v>56</v>
      </c>
      <c r="S347">
        <v>5</v>
      </c>
      <c r="T347" t="s">
        <v>69</v>
      </c>
      <c r="U347">
        <v>5</v>
      </c>
      <c r="V347">
        <v>27</v>
      </c>
      <c r="W347" t="s">
        <v>70</v>
      </c>
      <c r="X347" t="s">
        <v>68</v>
      </c>
      <c r="Y347" t="s">
        <v>86</v>
      </c>
      <c r="Z347" t="s">
        <v>89</v>
      </c>
    </row>
    <row r="348" spans="1:26" x14ac:dyDescent="0.2">
      <c r="A348" t="s">
        <v>895</v>
      </c>
      <c r="B348" t="s">
        <v>255</v>
      </c>
      <c r="C348" t="s">
        <v>89</v>
      </c>
      <c r="D348" t="s">
        <v>239</v>
      </c>
      <c r="E348" t="s">
        <v>580</v>
      </c>
      <c r="F348" t="s">
        <v>77</v>
      </c>
      <c r="G348" t="s">
        <v>65</v>
      </c>
      <c r="H348" t="s">
        <v>66</v>
      </c>
      <c r="I348" t="s">
        <v>67</v>
      </c>
      <c r="J348" s="3">
        <v>44760</v>
      </c>
      <c r="K348">
        <v>3.5</v>
      </c>
      <c r="L348">
        <v>36</v>
      </c>
      <c r="M348" s="4">
        <v>11000</v>
      </c>
      <c r="N348" s="4">
        <v>180931</v>
      </c>
      <c r="O348" t="s">
        <v>68</v>
      </c>
      <c r="P348" t="s">
        <v>69</v>
      </c>
      <c r="Q348">
        <v>3.11</v>
      </c>
      <c r="R348">
        <v>61</v>
      </c>
      <c r="S348">
        <v>56</v>
      </c>
      <c r="T348" t="s">
        <v>68</v>
      </c>
      <c r="U348">
        <v>8</v>
      </c>
      <c r="V348">
        <v>34</v>
      </c>
      <c r="W348" t="s">
        <v>70</v>
      </c>
      <c r="X348" t="s">
        <v>68</v>
      </c>
      <c r="Y348" t="s">
        <v>71</v>
      </c>
      <c r="Z348" t="s">
        <v>89</v>
      </c>
    </row>
    <row r="349" spans="1:26" x14ac:dyDescent="0.2">
      <c r="A349" t="s">
        <v>896</v>
      </c>
      <c r="B349" t="s">
        <v>532</v>
      </c>
      <c r="C349" t="s">
        <v>61</v>
      </c>
      <c r="D349" t="s">
        <v>604</v>
      </c>
      <c r="E349" t="s">
        <v>897</v>
      </c>
      <c r="F349" t="s">
        <v>77</v>
      </c>
      <c r="G349" t="s">
        <v>65</v>
      </c>
      <c r="H349" t="s">
        <v>66</v>
      </c>
      <c r="I349" t="s">
        <v>148</v>
      </c>
      <c r="J349" s="3">
        <v>44888</v>
      </c>
      <c r="K349">
        <v>3.1</v>
      </c>
      <c r="L349">
        <v>60</v>
      </c>
      <c r="M349" s="4">
        <v>12400</v>
      </c>
      <c r="N349" s="4">
        <v>196557</v>
      </c>
      <c r="O349" t="s">
        <v>69</v>
      </c>
      <c r="P349" t="s">
        <v>68</v>
      </c>
      <c r="Q349">
        <v>2.61</v>
      </c>
      <c r="R349">
        <v>68</v>
      </c>
      <c r="S349">
        <v>23</v>
      </c>
      <c r="T349" t="s">
        <v>69</v>
      </c>
      <c r="U349">
        <v>8</v>
      </c>
      <c r="V349">
        <v>27</v>
      </c>
      <c r="W349" t="s">
        <v>68</v>
      </c>
      <c r="X349" t="s">
        <v>68</v>
      </c>
      <c r="Y349" t="s">
        <v>71</v>
      </c>
      <c r="Z349" t="s">
        <v>61</v>
      </c>
    </row>
    <row r="350" spans="1:26" x14ac:dyDescent="0.2">
      <c r="A350" t="s">
        <v>898</v>
      </c>
      <c r="B350" t="s">
        <v>611</v>
      </c>
      <c r="C350" t="s">
        <v>74</v>
      </c>
      <c r="D350" t="s">
        <v>139</v>
      </c>
      <c r="E350" t="s">
        <v>197</v>
      </c>
      <c r="F350" t="s">
        <v>120</v>
      </c>
      <c r="G350" t="s">
        <v>65</v>
      </c>
      <c r="H350" t="s">
        <v>78</v>
      </c>
      <c r="I350" t="s">
        <v>236</v>
      </c>
      <c r="J350" s="3">
        <v>44313</v>
      </c>
      <c r="K350">
        <v>4.7</v>
      </c>
      <c r="L350">
        <v>37</v>
      </c>
      <c r="M350" s="4">
        <v>8100</v>
      </c>
      <c r="N350" s="4">
        <v>117948</v>
      </c>
      <c r="O350" t="s">
        <v>68</v>
      </c>
      <c r="P350" t="s">
        <v>68</v>
      </c>
      <c r="Q350">
        <v>3.51</v>
      </c>
      <c r="R350">
        <v>75</v>
      </c>
      <c r="S350">
        <v>39</v>
      </c>
      <c r="T350" t="s">
        <v>69</v>
      </c>
      <c r="U350">
        <v>10</v>
      </c>
      <c r="V350">
        <v>48</v>
      </c>
      <c r="W350" t="s">
        <v>70</v>
      </c>
      <c r="X350" t="s">
        <v>69</v>
      </c>
      <c r="Y350" t="s">
        <v>71</v>
      </c>
      <c r="Z350" t="s">
        <v>74</v>
      </c>
    </row>
    <row r="351" spans="1:26" x14ac:dyDescent="0.2">
      <c r="A351" t="s">
        <v>899</v>
      </c>
      <c r="B351" t="s">
        <v>900</v>
      </c>
      <c r="C351" t="s">
        <v>74</v>
      </c>
      <c r="D351" t="s">
        <v>75</v>
      </c>
      <c r="E351" t="s">
        <v>204</v>
      </c>
      <c r="F351" t="s">
        <v>64</v>
      </c>
      <c r="G351" t="s">
        <v>65</v>
      </c>
      <c r="H351" t="s">
        <v>78</v>
      </c>
      <c r="I351" t="s">
        <v>99</v>
      </c>
      <c r="J351" s="3">
        <v>44685</v>
      </c>
      <c r="K351">
        <v>3.7</v>
      </c>
      <c r="L351">
        <v>39</v>
      </c>
      <c r="M351" s="4">
        <v>6300</v>
      </c>
      <c r="N351" s="4">
        <v>98785</v>
      </c>
      <c r="O351" t="s">
        <v>68</v>
      </c>
      <c r="P351" t="s">
        <v>68</v>
      </c>
      <c r="Q351">
        <v>3.21</v>
      </c>
      <c r="R351">
        <v>68</v>
      </c>
      <c r="S351">
        <v>28</v>
      </c>
      <c r="T351" t="s">
        <v>69</v>
      </c>
      <c r="U351">
        <v>4</v>
      </c>
      <c r="V351">
        <v>31</v>
      </c>
      <c r="W351" t="s">
        <v>70</v>
      </c>
      <c r="X351" t="s">
        <v>68</v>
      </c>
      <c r="Y351" t="s">
        <v>86</v>
      </c>
      <c r="Z351" t="s">
        <v>74</v>
      </c>
    </row>
    <row r="352" spans="1:26" x14ac:dyDescent="0.2">
      <c r="A352" t="s">
        <v>901</v>
      </c>
      <c r="B352" t="s">
        <v>775</v>
      </c>
      <c r="C352" t="s">
        <v>108</v>
      </c>
      <c r="D352" t="s">
        <v>222</v>
      </c>
      <c r="E352" t="s">
        <v>693</v>
      </c>
      <c r="F352" t="s">
        <v>64</v>
      </c>
      <c r="G352" t="s">
        <v>65</v>
      </c>
      <c r="H352" t="s">
        <v>66</v>
      </c>
      <c r="I352" t="s">
        <v>99</v>
      </c>
      <c r="J352" s="3">
        <v>43614</v>
      </c>
      <c r="K352">
        <v>6.6</v>
      </c>
      <c r="L352">
        <v>35</v>
      </c>
      <c r="M352" s="4">
        <v>6000</v>
      </c>
      <c r="N352" s="4">
        <v>86565</v>
      </c>
      <c r="O352" t="s">
        <v>68</v>
      </c>
      <c r="P352" t="s">
        <v>69</v>
      </c>
      <c r="Q352">
        <v>3.78</v>
      </c>
      <c r="R352">
        <v>64</v>
      </c>
      <c r="S352">
        <v>36</v>
      </c>
      <c r="T352" t="s">
        <v>68</v>
      </c>
      <c r="U352">
        <v>5</v>
      </c>
      <c r="V352">
        <v>64</v>
      </c>
      <c r="W352" t="s">
        <v>70</v>
      </c>
      <c r="X352" t="s">
        <v>69</v>
      </c>
      <c r="Y352" t="s">
        <v>86</v>
      </c>
      <c r="Z352" t="s">
        <v>108</v>
      </c>
    </row>
    <row r="353" spans="1:26" x14ac:dyDescent="0.2">
      <c r="A353" t="s">
        <v>902</v>
      </c>
      <c r="B353" t="s">
        <v>613</v>
      </c>
      <c r="C353" t="s">
        <v>96</v>
      </c>
      <c r="D353" t="s">
        <v>234</v>
      </c>
      <c r="E353" t="s">
        <v>615</v>
      </c>
      <c r="F353" t="s">
        <v>84</v>
      </c>
      <c r="G353" t="s">
        <v>65</v>
      </c>
      <c r="H353" t="s">
        <v>78</v>
      </c>
      <c r="I353" t="s">
        <v>67</v>
      </c>
      <c r="J353" s="3">
        <v>45149</v>
      </c>
      <c r="K353">
        <v>2.4</v>
      </c>
      <c r="L353">
        <v>60</v>
      </c>
      <c r="M353" s="4">
        <v>18500</v>
      </c>
      <c r="N353" s="4">
        <v>303861</v>
      </c>
      <c r="O353" t="s">
        <v>69</v>
      </c>
      <c r="P353" t="s">
        <v>69</v>
      </c>
      <c r="Q353">
        <v>3.59</v>
      </c>
      <c r="R353">
        <v>74</v>
      </c>
      <c r="S353">
        <v>52</v>
      </c>
      <c r="T353" t="s">
        <v>69</v>
      </c>
      <c r="U353">
        <v>8</v>
      </c>
      <c r="V353">
        <v>11</v>
      </c>
      <c r="W353" t="s">
        <v>68</v>
      </c>
      <c r="X353" t="s">
        <v>69</v>
      </c>
      <c r="Y353" t="s">
        <v>71</v>
      </c>
      <c r="Z353" t="s">
        <v>96</v>
      </c>
    </row>
    <row r="354" spans="1:26" x14ac:dyDescent="0.2">
      <c r="A354" t="s">
        <v>903</v>
      </c>
      <c r="B354" t="s">
        <v>904</v>
      </c>
      <c r="C354" t="s">
        <v>12</v>
      </c>
      <c r="D354" t="s">
        <v>82</v>
      </c>
      <c r="E354" t="s">
        <v>450</v>
      </c>
      <c r="F354" t="s">
        <v>136</v>
      </c>
      <c r="G354" t="s">
        <v>65</v>
      </c>
      <c r="H354" t="s">
        <v>78</v>
      </c>
      <c r="I354" t="s">
        <v>455</v>
      </c>
      <c r="J354" s="3">
        <v>44765</v>
      </c>
      <c r="K354">
        <v>3.4</v>
      </c>
      <c r="L354">
        <v>26</v>
      </c>
      <c r="M354" s="4">
        <v>9300</v>
      </c>
      <c r="N354" s="4">
        <v>151795</v>
      </c>
      <c r="O354" t="s">
        <v>68</v>
      </c>
      <c r="P354" t="s">
        <v>68</v>
      </c>
      <c r="Q354">
        <v>2.5099999999999998</v>
      </c>
      <c r="R354">
        <v>67</v>
      </c>
      <c r="S354">
        <v>5</v>
      </c>
      <c r="T354" t="s">
        <v>68</v>
      </c>
      <c r="U354">
        <v>13</v>
      </c>
      <c r="V354">
        <v>4</v>
      </c>
      <c r="W354" t="s">
        <v>70</v>
      </c>
      <c r="X354" t="s">
        <v>68</v>
      </c>
      <c r="Y354" t="s">
        <v>71</v>
      </c>
      <c r="Z354" t="s">
        <v>12</v>
      </c>
    </row>
    <row r="355" spans="1:26" x14ac:dyDescent="0.2">
      <c r="A355" t="s">
        <v>905</v>
      </c>
      <c r="B355" t="s">
        <v>906</v>
      </c>
      <c r="C355" t="s">
        <v>61</v>
      </c>
      <c r="D355" t="s">
        <v>62</v>
      </c>
      <c r="E355" t="s">
        <v>447</v>
      </c>
      <c r="F355" t="s">
        <v>136</v>
      </c>
      <c r="G355" t="s">
        <v>65</v>
      </c>
      <c r="H355" t="s">
        <v>66</v>
      </c>
      <c r="I355" t="s">
        <v>67</v>
      </c>
      <c r="J355" s="3">
        <v>42240</v>
      </c>
      <c r="K355">
        <v>10.4</v>
      </c>
      <c r="L355">
        <v>29</v>
      </c>
      <c r="M355" s="4">
        <v>13300</v>
      </c>
      <c r="N355" s="4">
        <v>216920</v>
      </c>
      <c r="O355" t="s">
        <v>69</v>
      </c>
      <c r="P355" t="s">
        <v>68</v>
      </c>
      <c r="Q355">
        <v>2.84</v>
      </c>
      <c r="R355">
        <v>60</v>
      </c>
      <c r="S355">
        <v>15</v>
      </c>
      <c r="T355" t="s">
        <v>69</v>
      </c>
      <c r="U355">
        <v>6</v>
      </c>
      <c r="V355">
        <v>0</v>
      </c>
      <c r="W355" t="s">
        <v>69</v>
      </c>
      <c r="X355" t="s">
        <v>68</v>
      </c>
      <c r="Y355" t="s">
        <v>71</v>
      </c>
      <c r="Z355" t="s">
        <v>61</v>
      </c>
    </row>
    <row r="356" spans="1:26" x14ac:dyDescent="0.2">
      <c r="A356" t="s">
        <v>907</v>
      </c>
      <c r="B356" t="s">
        <v>908</v>
      </c>
      <c r="C356" t="s">
        <v>89</v>
      </c>
      <c r="D356" t="s">
        <v>154</v>
      </c>
      <c r="E356" t="s">
        <v>155</v>
      </c>
      <c r="F356" t="s">
        <v>120</v>
      </c>
      <c r="G356" t="s">
        <v>65</v>
      </c>
      <c r="H356" t="s">
        <v>78</v>
      </c>
      <c r="I356" t="s">
        <v>79</v>
      </c>
      <c r="J356" s="3">
        <v>45529</v>
      </c>
      <c r="K356">
        <v>1.4</v>
      </c>
      <c r="L356">
        <v>35</v>
      </c>
      <c r="M356" s="4">
        <v>8900</v>
      </c>
      <c r="N356" s="4">
        <v>144368</v>
      </c>
      <c r="O356" t="s">
        <v>68</v>
      </c>
      <c r="P356" t="s">
        <v>69</v>
      </c>
      <c r="Q356">
        <v>3.28</v>
      </c>
      <c r="R356">
        <v>74</v>
      </c>
      <c r="S356">
        <v>22</v>
      </c>
      <c r="T356" t="s">
        <v>69</v>
      </c>
      <c r="U356">
        <v>7</v>
      </c>
      <c r="V356">
        <v>43</v>
      </c>
      <c r="W356" t="s">
        <v>70</v>
      </c>
      <c r="X356" t="s">
        <v>68</v>
      </c>
      <c r="Y356" t="s">
        <v>71</v>
      </c>
      <c r="Z356" t="s">
        <v>89</v>
      </c>
    </row>
    <row r="357" spans="1:26" x14ac:dyDescent="0.2">
      <c r="A357" t="s">
        <v>909</v>
      </c>
      <c r="B357" t="s">
        <v>910</v>
      </c>
      <c r="C357" t="s">
        <v>124</v>
      </c>
      <c r="D357" t="s">
        <v>243</v>
      </c>
      <c r="E357" t="s">
        <v>911</v>
      </c>
      <c r="F357" t="s">
        <v>84</v>
      </c>
      <c r="G357" t="s">
        <v>65</v>
      </c>
      <c r="H357" t="s">
        <v>66</v>
      </c>
      <c r="I357" t="s">
        <v>67</v>
      </c>
      <c r="J357" s="3">
        <v>42389</v>
      </c>
      <c r="K357">
        <v>10</v>
      </c>
      <c r="L357">
        <v>28</v>
      </c>
      <c r="M357" s="4">
        <v>20000</v>
      </c>
      <c r="N357" s="4">
        <v>309631</v>
      </c>
      <c r="O357" t="s">
        <v>69</v>
      </c>
      <c r="P357" t="s">
        <v>68</v>
      </c>
      <c r="Q357">
        <v>4</v>
      </c>
      <c r="R357">
        <v>76</v>
      </c>
      <c r="S357">
        <v>42</v>
      </c>
      <c r="T357" t="s">
        <v>69</v>
      </c>
      <c r="U357">
        <v>8</v>
      </c>
      <c r="V357">
        <v>20</v>
      </c>
      <c r="W357" t="s">
        <v>69</v>
      </c>
      <c r="X357" t="s">
        <v>69</v>
      </c>
      <c r="Y357" t="s">
        <v>71</v>
      </c>
      <c r="Z357" t="s">
        <v>124</v>
      </c>
    </row>
    <row r="358" spans="1:26" x14ac:dyDescent="0.2">
      <c r="A358" t="s">
        <v>912</v>
      </c>
      <c r="B358" t="s">
        <v>913</v>
      </c>
      <c r="C358" t="s">
        <v>96</v>
      </c>
      <c r="D358" t="s">
        <v>234</v>
      </c>
      <c r="E358" t="s">
        <v>408</v>
      </c>
      <c r="F358" t="s">
        <v>120</v>
      </c>
      <c r="G358" t="s">
        <v>65</v>
      </c>
      <c r="H358" t="s">
        <v>66</v>
      </c>
      <c r="I358" t="s">
        <v>99</v>
      </c>
      <c r="J358" s="3">
        <v>45541</v>
      </c>
      <c r="K358">
        <v>1.3</v>
      </c>
      <c r="L358">
        <v>24</v>
      </c>
      <c r="M358" s="4">
        <v>6700</v>
      </c>
      <c r="N358" s="4">
        <v>98347</v>
      </c>
      <c r="O358" t="s">
        <v>68</v>
      </c>
      <c r="P358" t="s">
        <v>69</v>
      </c>
      <c r="Q358">
        <v>2.39</v>
      </c>
      <c r="R358">
        <v>60</v>
      </c>
      <c r="S358">
        <v>10</v>
      </c>
      <c r="T358" t="s">
        <v>68</v>
      </c>
      <c r="U358">
        <v>7</v>
      </c>
      <c r="V358">
        <v>48</v>
      </c>
      <c r="W358" t="s">
        <v>70</v>
      </c>
      <c r="X358" t="s">
        <v>68</v>
      </c>
      <c r="Y358" t="s">
        <v>86</v>
      </c>
      <c r="Z358" t="s">
        <v>96</v>
      </c>
    </row>
    <row r="359" spans="1:26" x14ac:dyDescent="0.2">
      <c r="A359" t="s">
        <v>914</v>
      </c>
      <c r="B359" t="s">
        <v>270</v>
      </c>
      <c r="C359" t="s">
        <v>96</v>
      </c>
      <c r="D359" t="s">
        <v>129</v>
      </c>
      <c r="E359" t="s">
        <v>915</v>
      </c>
      <c r="F359" t="s">
        <v>136</v>
      </c>
      <c r="G359" t="s">
        <v>65</v>
      </c>
      <c r="H359" t="s">
        <v>66</v>
      </c>
      <c r="I359" t="s">
        <v>67</v>
      </c>
      <c r="J359" s="3">
        <v>45553</v>
      </c>
      <c r="K359">
        <v>1.3</v>
      </c>
      <c r="L359">
        <v>46</v>
      </c>
      <c r="M359" s="4">
        <v>12800</v>
      </c>
      <c r="N359" s="4">
        <v>186340</v>
      </c>
      <c r="O359" t="s">
        <v>68</v>
      </c>
      <c r="P359" t="s">
        <v>69</v>
      </c>
      <c r="Q359">
        <v>2.66</v>
      </c>
      <c r="R359">
        <v>48</v>
      </c>
      <c r="S359">
        <v>44</v>
      </c>
      <c r="T359" t="s">
        <v>69</v>
      </c>
      <c r="U359">
        <v>14</v>
      </c>
      <c r="V359">
        <v>0</v>
      </c>
      <c r="W359" t="s">
        <v>70</v>
      </c>
      <c r="X359" t="s">
        <v>68</v>
      </c>
      <c r="Y359" t="s">
        <v>71</v>
      </c>
      <c r="Z359" t="s">
        <v>96</v>
      </c>
    </row>
    <row r="360" spans="1:26" x14ac:dyDescent="0.2">
      <c r="A360" t="s">
        <v>916</v>
      </c>
      <c r="B360" t="s">
        <v>621</v>
      </c>
      <c r="C360" t="s">
        <v>143</v>
      </c>
      <c r="D360" t="s">
        <v>207</v>
      </c>
      <c r="E360" t="s">
        <v>705</v>
      </c>
      <c r="F360" t="s">
        <v>136</v>
      </c>
      <c r="G360" t="s">
        <v>65</v>
      </c>
      <c r="H360" t="s">
        <v>66</v>
      </c>
      <c r="I360" t="s">
        <v>121</v>
      </c>
      <c r="J360" s="3">
        <v>45720</v>
      </c>
      <c r="K360">
        <v>0.8</v>
      </c>
      <c r="L360">
        <v>33</v>
      </c>
      <c r="M360" s="4">
        <v>11400</v>
      </c>
      <c r="N360" s="4">
        <v>185120</v>
      </c>
      <c r="O360" t="s">
        <v>68</v>
      </c>
      <c r="P360" t="s">
        <v>69</v>
      </c>
      <c r="Q360">
        <v>2.82</v>
      </c>
      <c r="R360">
        <v>63</v>
      </c>
      <c r="S360">
        <v>17</v>
      </c>
      <c r="T360" t="s">
        <v>69</v>
      </c>
      <c r="U360">
        <v>8</v>
      </c>
      <c r="V360">
        <v>9</v>
      </c>
      <c r="W360" t="s">
        <v>70</v>
      </c>
      <c r="X360" t="s">
        <v>68</v>
      </c>
      <c r="Y360" t="s">
        <v>71</v>
      </c>
      <c r="Z360" t="s">
        <v>143</v>
      </c>
    </row>
    <row r="361" spans="1:26" x14ac:dyDescent="0.2">
      <c r="A361" t="s">
        <v>917</v>
      </c>
      <c r="B361" t="s">
        <v>357</v>
      </c>
      <c r="C361" t="s">
        <v>96</v>
      </c>
      <c r="D361" t="s">
        <v>97</v>
      </c>
      <c r="E361" t="s">
        <v>918</v>
      </c>
      <c r="F361" t="s">
        <v>92</v>
      </c>
      <c r="G361" t="s">
        <v>227</v>
      </c>
      <c r="H361" t="s">
        <v>66</v>
      </c>
      <c r="I361" t="s">
        <v>67</v>
      </c>
      <c r="J361" s="3">
        <v>44337</v>
      </c>
      <c r="K361">
        <v>4.5999999999999996</v>
      </c>
      <c r="L361">
        <v>28</v>
      </c>
      <c r="M361" s="4">
        <v>4900</v>
      </c>
      <c r="N361" s="4">
        <v>80107</v>
      </c>
      <c r="O361" t="s">
        <v>68</v>
      </c>
      <c r="P361" t="s">
        <v>69</v>
      </c>
      <c r="Q361">
        <v>2.5099999999999998</v>
      </c>
      <c r="R361">
        <v>61</v>
      </c>
      <c r="S361">
        <v>43</v>
      </c>
      <c r="T361" t="s">
        <v>69</v>
      </c>
      <c r="U361">
        <v>6</v>
      </c>
      <c r="V361">
        <v>23</v>
      </c>
      <c r="W361" t="s">
        <v>70</v>
      </c>
      <c r="X361" t="s">
        <v>68</v>
      </c>
      <c r="Y361" t="s">
        <v>86</v>
      </c>
      <c r="Z361" t="s">
        <v>96</v>
      </c>
    </row>
    <row r="362" spans="1:26" x14ac:dyDescent="0.2">
      <c r="A362" t="s">
        <v>919</v>
      </c>
      <c r="B362" t="s">
        <v>920</v>
      </c>
      <c r="C362" t="s">
        <v>102</v>
      </c>
      <c r="D362" t="s">
        <v>339</v>
      </c>
      <c r="E362" t="s">
        <v>921</v>
      </c>
      <c r="F362" t="s">
        <v>84</v>
      </c>
      <c r="G362" t="s">
        <v>65</v>
      </c>
      <c r="H362" t="s">
        <v>78</v>
      </c>
      <c r="I362" t="s">
        <v>236</v>
      </c>
      <c r="J362" s="3">
        <v>43781</v>
      </c>
      <c r="K362">
        <v>6.1</v>
      </c>
      <c r="L362">
        <v>48</v>
      </c>
      <c r="M362" s="4">
        <v>16200</v>
      </c>
      <c r="N362" s="4">
        <v>264080</v>
      </c>
      <c r="O362" t="s">
        <v>69</v>
      </c>
      <c r="P362" t="s">
        <v>69</v>
      </c>
      <c r="Q362">
        <v>2.64</v>
      </c>
      <c r="R362">
        <v>53</v>
      </c>
      <c r="S362">
        <v>54</v>
      </c>
      <c r="T362" t="s">
        <v>69</v>
      </c>
      <c r="U362">
        <v>12</v>
      </c>
      <c r="V362">
        <v>16</v>
      </c>
      <c r="W362" t="s">
        <v>68</v>
      </c>
      <c r="X362" t="s">
        <v>68</v>
      </c>
      <c r="Y362" t="s">
        <v>71</v>
      </c>
      <c r="Z362" t="s">
        <v>102</v>
      </c>
    </row>
    <row r="363" spans="1:26" x14ac:dyDescent="0.2">
      <c r="A363" t="s">
        <v>922</v>
      </c>
      <c r="B363" t="s">
        <v>923</v>
      </c>
      <c r="C363" t="s">
        <v>108</v>
      </c>
      <c r="D363" t="s">
        <v>194</v>
      </c>
      <c r="E363" t="s">
        <v>381</v>
      </c>
      <c r="F363" t="s">
        <v>77</v>
      </c>
      <c r="G363" t="s">
        <v>215</v>
      </c>
      <c r="H363" t="s">
        <v>78</v>
      </c>
      <c r="I363" t="s">
        <v>79</v>
      </c>
      <c r="J363" s="3">
        <v>44509</v>
      </c>
      <c r="K363">
        <v>4.0999999999999996</v>
      </c>
      <c r="L363">
        <v>25</v>
      </c>
      <c r="M363" s="4">
        <v>10200</v>
      </c>
      <c r="N363" s="4">
        <v>162830</v>
      </c>
      <c r="O363" t="s">
        <v>68</v>
      </c>
      <c r="P363" t="s">
        <v>69</v>
      </c>
      <c r="Q363">
        <v>3.08</v>
      </c>
      <c r="R363">
        <v>84</v>
      </c>
      <c r="S363">
        <v>22</v>
      </c>
      <c r="T363" t="s">
        <v>69</v>
      </c>
      <c r="U363">
        <v>2</v>
      </c>
      <c r="V363">
        <v>24</v>
      </c>
      <c r="W363" t="s">
        <v>70</v>
      </c>
      <c r="X363" t="s">
        <v>68</v>
      </c>
      <c r="Y363" t="s">
        <v>71</v>
      </c>
      <c r="Z363" t="s">
        <v>108</v>
      </c>
    </row>
    <row r="364" spans="1:26" x14ac:dyDescent="0.2">
      <c r="A364" t="s">
        <v>924</v>
      </c>
      <c r="B364" t="s">
        <v>206</v>
      </c>
      <c r="C364" t="s">
        <v>61</v>
      </c>
      <c r="D364" t="s">
        <v>177</v>
      </c>
      <c r="E364" t="s">
        <v>925</v>
      </c>
      <c r="F364" t="s">
        <v>64</v>
      </c>
      <c r="G364" t="s">
        <v>215</v>
      </c>
      <c r="H364" t="s">
        <v>66</v>
      </c>
      <c r="I364" t="s">
        <v>67</v>
      </c>
      <c r="J364" s="3">
        <v>44879</v>
      </c>
      <c r="K364">
        <v>3.1</v>
      </c>
      <c r="L364">
        <v>39</v>
      </c>
      <c r="M364" s="4">
        <v>6700</v>
      </c>
      <c r="N364" s="4">
        <v>97147</v>
      </c>
      <c r="O364" t="s">
        <v>68</v>
      </c>
      <c r="P364" t="s">
        <v>68</v>
      </c>
      <c r="Q364">
        <v>3.21</v>
      </c>
      <c r="R364">
        <v>69</v>
      </c>
      <c r="S364">
        <v>20</v>
      </c>
      <c r="T364" t="s">
        <v>69</v>
      </c>
      <c r="U364">
        <v>11</v>
      </c>
      <c r="V364">
        <v>2</v>
      </c>
      <c r="W364" t="s">
        <v>70</v>
      </c>
      <c r="X364" t="s">
        <v>68</v>
      </c>
      <c r="Y364" t="s">
        <v>71</v>
      </c>
      <c r="Z364" t="s">
        <v>61</v>
      </c>
    </row>
    <row r="365" spans="1:26" x14ac:dyDescent="0.2">
      <c r="A365" t="s">
        <v>926</v>
      </c>
      <c r="B365" t="s">
        <v>257</v>
      </c>
      <c r="C365" t="s">
        <v>133</v>
      </c>
      <c r="D365" t="s">
        <v>213</v>
      </c>
      <c r="E365" t="s">
        <v>927</v>
      </c>
      <c r="F365" t="s">
        <v>77</v>
      </c>
      <c r="G365" t="s">
        <v>65</v>
      </c>
      <c r="H365" t="s">
        <v>66</v>
      </c>
      <c r="I365" t="s">
        <v>121</v>
      </c>
      <c r="J365" s="3">
        <v>45144</v>
      </c>
      <c r="K365">
        <v>2.4</v>
      </c>
      <c r="L365">
        <v>55</v>
      </c>
      <c r="M365" s="4">
        <v>12200</v>
      </c>
      <c r="N365" s="4">
        <v>180305</v>
      </c>
      <c r="O365" t="s">
        <v>68</v>
      </c>
      <c r="P365" t="s">
        <v>68</v>
      </c>
      <c r="Q365">
        <v>2.6</v>
      </c>
      <c r="R365">
        <v>67</v>
      </c>
      <c r="S365">
        <v>17</v>
      </c>
      <c r="T365" t="s">
        <v>69</v>
      </c>
      <c r="U365">
        <v>0</v>
      </c>
      <c r="V365">
        <v>19</v>
      </c>
      <c r="W365" t="s">
        <v>70</v>
      </c>
      <c r="X365" t="s">
        <v>68</v>
      </c>
      <c r="Y365" t="s">
        <v>71</v>
      </c>
      <c r="Z365" t="s">
        <v>133</v>
      </c>
    </row>
    <row r="366" spans="1:26" x14ac:dyDescent="0.2">
      <c r="A366" t="s">
        <v>928</v>
      </c>
      <c r="B366" t="s">
        <v>884</v>
      </c>
      <c r="C366" t="s">
        <v>108</v>
      </c>
      <c r="D366" t="s">
        <v>222</v>
      </c>
      <c r="E366" t="s">
        <v>544</v>
      </c>
      <c r="F366" t="s">
        <v>136</v>
      </c>
      <c r="G366" t="s">
        <v>65</v>
      </c>
      <c r="H366" t="s">
        <v>78</v>
      </c>
      <c r="I366" t="s">
        <v>67</v>
      </c>
      <c r="J366" s="3">
        <v>44044</v>
      </c>
      <c r="K366">
        <v>5.4</v>
      </c>
      <c r="L366">
        <v>37</v>
      </c>
      <c r="M366" s="4">
        <v>12500</v>
      </c>
      <c r="N366" s="4">
        <v>204426</v>
      </c>
      <c r="O366" t="s">
        <v>68</v>
      </c>
      <c r="P366" t="s">
        <v>69</v>
      </c>
      <c r="Q366">
        <v>3.33</v>
      </c>
      <c r="R366">
        <v>77</v>
      </c>
      <c r="S366">
        <v>36</v>
      </c>
      <c r="T366" t="s">
        <v>69</v>
      </c>
      <c r="U366">
        <v>7</v>
      </c>
      <c r="V366">
        <v>2</v>
      </c>
      <c r="W366" t="s">
        <v>70</v>
      </c>
      <c r="X366" t="s">
        <v>68</v>
      </c>
      <c r="Y366" t="s">
        <v>71</v>
      </c>
      <c r="Z366" t="s">
        <v>108</v>
      </c>
    </row>
    <row r="367" spans="1:26" x14ac:dyDescent="0.2">
      <c r="A367" t="s">
        <v>929</v>
      </c>
      <c r="B367" t="s">
        <v>229</v>
      </c>
      <c r="C367" t="s">
        <v>143</v>
      </c>
      <c r="D367" t="s">
        <v>207</v>
      </c>
      <c r="E367" t="s">
        <v>208</v>
      </c>
      <c r="F367" t="s">
        <v>64</v>
      </c>
      <c r="G367" t="s">
        <v>85</v>
      </c>
      <c r="H367" t="s">
        <v>66</v>
      </c>
      <c r="I367" t="s">
        <v>79</v>
      </c>
      <c r="J367" s="3">
        <v>43214</v>
      </c>
      <c r="K367">
        <v>7.7</v>
      </c>
      <c r="L367">
        <v>38</v>
      </c>
      <c r="M367" s="4">
        <v>6700</v>
      </c>
      <c r="N367" s="4">
        <v>101684</v>
      </c>
      <c r="O367" t="s">
        <v>68</v>
      </c>
      <c r="P367" t="s">
        <v>69</v>
      </c>
      <c r="Q367">
        <v>3.44</v>
      </c>
      <c r="R367">
        <v>71</v>
      </c>
      <c r="S367">
        <v>23</v>
      </c>
      <c r="T367" t="s">
        <v>68</v>
      </c>
      <c r="U367">
        <v>6</v>
      </c>
      <c r="V367">
        <v>0</v>
      </c>
      <c r="W367" t="s">
        <v>70</v>
      </c>
      <c r="X367" t="s">
        <v>68</v>
      </c>
      <c r="Y367" t="s">
        <v>71</v>
      </c>
      <c r="Z367" t="s">
        <v>143</v>
      </c>
    </row>
    <row r="368" spans="1:26" x14ac:dyDescent="0.2">
      <c r="A368" t="s">
        <v>930</v>
      </c>
      <c r="B368" t="s">
        <v>931</v>
      </c>
      <c r="C368" t="s">
        <v>74</v>
      </c>
      <c r="D368" t="s">
        <v>139</v>
      </c>
      <c r="E368" t="s">
        <v>197</v>
      </c>
      <c r="F368" t="s">
        <v>120</v>
      </c>
      <c r="G368" t="s">
        <v>215</v>
      </c>
      <c r="H368" t="s">
        <v>78</v>
      </c>
      <c r="I368" t="s">
        <v>67</v>
      </c>
      <c r="J368" s="3">
        <v>45059</v>
      </c>
      <c r="K368">
        <v>2.6</v>
      </c>
      <c r="L368">
        <v>24</v>
      </c>
      <c r="M368" s="4">
        <v>7800</v>
      </c>
      <c r="N368" s="4">
        <v>111438</v>
      </c>
      <c r="O368" t="s">
        <v>68</v>
      </c>
      <c r="P368" t="s">
        <v>68</v>
      </c>
      <c r="Q368">
        <v>3.08</v>
      </c>
      <c r="R368">
        <v>62</v>
      </c>
      <c r="S368">
        <v>31</v>
      </c>
      <c r="T368" t="s">
        <v>69</v>
      </c>
      <c r="U368">
        <v>0</v>
      </c>
      <c r="V368">
        <v>28</v>
      </c>
      <c r="W368" t="s">
        <v>70</v>
      </c>
      <c r="X368" t="s">
        <v>68</v>
      </c>
      <c r="Y368" t="s">
        <v>71</v>
      </c>
      <c r="Z368" t="s">
        <v>74</v>
      </c>
    </row>
    <row r="369" spans="1:26" x14ac:dyDescent="0.2">
      <c r="A369" t="s">
        <v>932</v>
      </c>
      <c r="B369" t="s">
        <v>933</v>
      </c>
      <c r="C369" t="s">
        <v>12</v>
      </c>
      <c r="D369" t="s">
        <v>249</v>
      </c>
      <c r="E369" t="s">
        <v>934</v>
      </c>
      <c r="F369" t="s">
        <v>120</v>
      </c>
      <c r="G369" t="s">
        <v>85</v>
      </c>
      <c r="H369" t="s">
        <v>78</v>
      </c>
      <c r="I369" t="s">
        <v>67</v>
      </c>
      <c r="J369" s="3">
        <v>41141</v>
      </c>
      <c r="K369">
        <v>13.4</v>
      </c>
      <c r="L369">
        <v>34</v>
      </c>
      <c r="M369" s="4">
        <v>8700</v>
      </c>
      <c r="N369" s="4">
        <v>125545</v>
      </c>
      <c r="O369" t="s">
        <v>68</v>
      </c>
      <c r="P369" t="s">
        <v>68</v>
      </c>
      <c r="Q369">
        <v>3.49</v>
      </c>
      <c r="R369">
        <v>79</v>
      </c>
      <c r="S369">
        <v>26</v>
      </c>
      <c r="T369" t="s">
        <v>69</v>
      </c>
      <c r="U369">
        <v>8</v>
      </c>
      <c r="V369">
        <v>26</v>
      </c>
      <c r="W369" t="s">
        <v>70</v>
      </c>
      <c r="X369" t="s">
        <v>68</v>
      </c>
      <c r="Y369" t="s">
        <v>71</v>
      </c>
      <c r="Z369" t="s">
        <v>12</v>
      </c>
    </row>
    <row r="370" spans="1:26" x14ac:dyDescent="0.2">
      <c r="A370" t="s">
        <v>935</v>
      </c>
      <c r="B370" t="s">
        <v>936</v>
      </c>
      <c r="C370" t="s">
        <v>143</v>
      </c>
      <c r="D370" t="s">
        <v>207</v>
      </c>
      <c r="E370" t="s">
        <v>444</v>
      </c>
      <c r="F370" t="s">
        <v>92</v>
      </c>
      <c r="G370" t="s">
        <v>65</v>
      </c>
      <c r="H370" t="s">
        <v>66</v>
      </c>
      <c r="I370" t="s">
        <v>67</v>
      </c>
      <c r="J370" s="3">
        <v>43190</v>
      </c>
      <c r="K370">
        <v>7.8</v>
      </c>
      <c r="L370">
        <v>57</v>
      </c>
      <c r="M370" s="4">
        <v>5200</v>
      </c>
      <c r="N370" s="4">
        <v>79377</v>
      </c>
      <c r="O370" t="s">
        <v>68</v>
      </c>
      <c r="P370" t="s">
        <v>69</v>
      </c>
      <c r="Q370">
        <v>3.03</v>
      </c>
      <c r="R370">
        <v>59</v>
      </c>
      <c r="S370">
        <v>33</v>
      </c>
      <c r="T370" t="s">
        <v>69</v>
      </c>
      <c r="U370">
        <v>0</v>
      </c>
      <c r="V370">
        <v>10</v>
      </c>
      <c r="W370" t="s">
        <v>70</v>
      </c>
      <c r="X370" t="s">
        <v>68</v>
      </c>
      <c r="Y370" t="s">
        <v>86</v>
      </c>
      <c r="Z370" t="s">
        <v>143</v>
      </c>
    </row>
    <row r="371" spans="1:26" x14ac:dyDescent="0.2">
      <c r="A371" t="s">
        <v>937</v>
      </c>
      <c r="B371" t="s">
        <v>938</v>
      </c>
      <c r="C371" t="s">
        <v>124</v>
      </c>
      <c r="D371" t="s">
        <v>391</v>
      </c>
      <c r="E371" t="s">
        <v>418</v>
      </c>
      <c r="F371" t="s">
        <v>64</v>
      </c>
      <c r="G371" t="s">
        <v>65</v>
      </c>
      <c r="H371" t="s">
        <v>66</v>
      </c>
      <c r="I371" t="s">
        <v>121</v>
      </c>
      <c r="J371" s="3">
        <v>45073</v>
      </c>
      <c r="K371">
        <v>2.6</v>
      </c>
      <c r="L371">
        <v>36</v>
      </c>
      <c r="M371" s="4">
        <v>8100</v>
      </c>
      <c r="N371" s="4">
        <v>115089</v>
      </c>
      <c r="O371" t="s">
        <v>68</v>
      </c>
      <c r="P371" t="s">
        <v>68</v>
      </c>
      <c r="Q371">
        <v>3.23</v>
      </c>
      <c r="R371">
        <v>72</v>
      </c>
      <c r="S371">
        <v>35</v>
      </c>
      <c r="T371" t="s">
        <v>69</v>
      </c>
      <c r="U371">
        <v>7</v>
      </c>
      <c r="V371">
        <v>48</v>
      </c>
      <c r="W371" t="s">
        <v>70</v>
      </c>
      <c r="X371" t="s">
        <v>68</v>
      </c>
      <c r="Y371" t="s">
        <v>86</v>
      </c>
      <c r="Z371" t="s">
        <v>124</v>
      </c>
    </row>
    <row r="372" spans="1:26" x14ac:dyDescent="0.2">
      <c r="A372" t="s">
        <v>939</v>
      </c>
      <c r="B372" t="s">
        <v>940</v>
      </c>
      <c r="C372" t="s">
        <v>108</v>
      </c>
      <c r="D372" t="s">
        <v>222</v>
      </c>
      <c r="E372" t="s">
        <v>276</v>
      </c>
      <c r="F372" t="s">
        <v>120</v>
      </c>
      <c r="G372" t="s">
        <v>65</v>
      </c>
      <c r="H372" t="s">
        <v>66</v>
      </c>
      <c r="I372" t="s">
        <v>111</v>
      </c>
      <c r="J372" s="3">
        <v>44915</v>
      </c>
      <c r="K372">
        <v>3</v>
      </c>
      <c r="L372">
        <v>43</v>
      </c>
      <c r="M372" s="4">
        <v>9900</v>
      </c>
      <c r="N372" s="4">
        <v>143492</v>
      </c>
      <c r="O372" t="s">
        <v>68</v>
      </c>
      <c r="P372" t="s">
        <v>69</v>
      </c>
      <c r="Q372">
        <v>2.65</v>
      </c>
      <c r="R372">
        <v>62</v>
      </c>
      <c r="S372">
        <v>8</v>
      </c>
      <c r="T372" t="s">
        <v>69</v>
      </c>
      <c r="U372">
        <v>0</v>
      </c>
      <c r="V372">
        <v>46</v>
      </c>
      <c r="W372" t="s">
        <v>70</v>
      </c>
      <c r="X372" t="s">
        <v>68</v>
      </c>
      <c r="Y372" t="s">
        <v>86</v>
      </c>
      <c r="Z372" t="s">
        <v>108</v>
      </c>
    </row>
    <row r="373" spans="1:26" x14ac:dyDescent="0.2">
      <c r="A373" t="s">
        <v>941</v>
      </c>
      <c r="B373" t="s">
        <v>342</v>
      </c>
      <c r="C373" t="s">
        <v>74</v>
      </c>
      <c r="D373" t="s">
        <v>75</v>
      </c>
      <c r="E373" t="s">
        <v>204</v>
      </c>
      <c r="F373" t="s">
        <v>64</v>
      </c>
      <c r="G373" t="s">
        <v>85</v>
      </c>
      <c r="H373" t="s">
        <v>78</v>
      </c>
      <c r="I373" t="s">
        <v>111</v>
      </c>
      <c r="J373" s="3">
        <v>42783</v>
      </c>
      <c r="K373">
        <v>8.9</v>
      </c>
      <c r="L373">
        <v>24</v>
      </c>
      <c r="M373" s="4">
        <v>6900</v>
      </c>
      <c r="N373" s="4">
        <v>108615</v>
      </c>
      <c r="O373" t="s">
        <v>69</v>
      </c>
      <c r="P373" t="s">
        <v>69</v>
      </c>
      <c r="Q373">
        <v>3.58</v>
      </c>
      <c r="R373">
        <v>62</v>
      </c>
      <c r="S373">
        <v>34</v>
      </c>
      <c r="T373" t="s">
        <v>69</v>
      </c>
      <c r="U373">
        <v>0</v>
      </c>
      <c r="V373">
        <v>31</v>
      </c>
      <c r="W373" t="s">
        <v>69</v>
      </c>
      <c r="X373" t="s">
        <v>69</v>
      </c>
      <c r="Y373" t="s">
        <v>86</v>
      </c>
      <c r="Z373" t="s">
        <v>74</v>
      </c>
    </row>
    <row r="374" spans="1:26" x14ac:dyDescent="0.2">
      <c r="A374" t="s">
        <v>942</v>
      </c>
      <c r="B374" t="s">
        <v>943</v>
      </c>
      <c r="C374" t="s">
        <v>102</v>
      </c>
      <c r="D374" t="s">
        <v>183</v>
      </c>
      <c r="E374" t="s">
        <v>635</v>
      </c>
      <c r="F374" t="s">
        <v>84</v>
      </c>
      <c r="G374" t="s">
        <v>85</v>
      </c>
      <c r="H374" t="s">
        <v>66</v>
      </c>
      <c r="I374" t="s">
        <v>67</v>
      </c>
      <c r="J374" s="3">
        <v>41258</v>
      </c>
      <c r="K374">
        <v>13.1</v>
      </c>
      <c r="L374">
        <v>25</v>
      </c>
      <c r="M374" s="4">
        <v>18100</v>
      </c>
      <c r="N374" s="4">
        <v>270757</v>
      </c>
      <c r="O374" t="s">
        <v>69</v>
      </c>
      <c r="P374" t="s">
        <v>69</v>
      </c>
      <c r="Q374">
        <v>3.29</v>
      </c>
      <c r="R374">
        <v>45</v>
      </c>
      <c r="S374">
        <v>19</v>
      </c>
      <c r="T374" t="s">
        <v>69</v>
      </c>
      <c r="U374">
        <v>4</v>
      </c>
      <c r="V374">
        <v>15</v>
      </c>
      <c r="W374" t="s">
        <v>68</v>
      </c>
      <c r="X374" t="s">
        <v>68</v>
      </c>
      <c r="Y374" t="s">
        <v>86</v>
      </c>
      <c r="Z374" t="s">
        <v>102</v>
      </c>
    </row>
    <row r="375" spans="1:26" x14ac:dyDescent="0.2">
      <c r="A375" t="s">
        <v>944</v>
      </c>
      <c r="B375" t="s">
        <v>827</v>
      </c>
      <c r="C375" t="s">
        <v>102</v>
      </c>
      <c r="D375" t="s">
        <v>183</v>
      </c>
      <c r="E375" t="s">
        <v>945</v>
      </c>
      <c r="F375" t="s">
        <v>174</v>
      </c>
      <c r="G375" t="s">
        <v>215</v>
      </c>
      <c r="H375" t="s">
        <v>78</v>
      </c>
      <c r="I375" t="s">
        <v>111</v>
      </c>
      <c r="J375" s="3">
        <v>43825</v>
      </c>
      <c r="K375">
        <v>6</v>
      </c>
      <c r="L375">
        <v>32</v>
      </c>
      <c r="M375" s="4">
        <v>23700</v>
      </c>
      <c r="N375" s="4">
        <v>373194</v>
      </c>
      <c r="O375" t="s">
        <v>69</v>
      </c>
      <c r="P375" t="s">
        <v>69</v>
      </c>
      <c r="Q375">
        <v>2.29</v>
      </c>
      <c r="R375">
        <v>62</v>
      </c>
      <c r="S375">
        <v>47</v>
      </c>
      <c r="T375" t="s">
        <v>69</v>
      </c>
      <c r="U375">
        <v>0</v>
      </c>
      <c r="V375">
        <v>7</v>
      </c>
      <c r="W375" t="s">
        <v>68</v>
      </c>
      <c r="X375" t="s">
        <v>68</v>
      </c>
      <c r="Y375" t="s">
        <v>71</v>
      </c>
      <c r="Z375" t="s">
        <v>102</v>
      </c>
    </row>
    <row r="376" spans="1:26" x14ac:dyDescent="0.2">
      <c r="A376" t="s">
        <v>946</v>
      </c>
      <c r="B376" t="s">
        <v>548</v>
      </c>
      <c r="C376" t="s">
        <v>74</v>
      </c>
      <c r="D376" t="s">
        <v>118</v>
      </c>
      <c r="E376" t="s">
        <v>947</v>
      </c>
      <c r="F376" t="s">
        <v>191</v>
      </c>
      <c r="G376" t="s">
        <v>65</v>
      </c>
      <c r="H376" t="s">
        <v>66</v>
      </c>
      <c r="I376" t="s">
        <v>79</v>
      </c>
      <c r="J376" s="3">
        <v>41265</v>
      </c>
      <c r="K376">
        <v>13</v>
      </c>
      <c r="L376">
        <v>27</v>
      </c>
      <c r="M376" s="4">
        <v>31600</v>
      </c>
      <c r="N376" s="4">
        <v>514121</v>
      </c>
      <c r="O376" t="s">
        <v>69</v>
      </c>
      <c r="P376" t="s">
        <v>68</v>
      </c>
      <c r="Q376">
        <v>3.26</v>
      </c>
      <c r="R376">
        <v>53</v>
      </c>
      <c r="S376">
        <v>48</v>
      </c>
      <c r="T376" t="s">
        <v>69</v>
      </c>
      <c r="U376">
        <v>6</v>
      </c>
      <c r="V376">
        <v>62</v>
      </c>
      <c r="W376" t="s">
        <v>68</v>
      </c>
      <c r="X376" t="s">
        <v>68</v>
      </c>
      <c r="Y376" t="s">
        <v>86</v>
      </c>
      <c r="Z376" t="s">
        <v>74</v>
      </c>
    </row>
    <row r="377" spans="1:26" x14ac:dyDescent="0.2">
      <c r="A377" t="s">
        <v>948</v>
      </c>
      <c r="B377" t="s">
        <v>949</v>
      </c>
      <c r="C377" t="s">
        <v>143</v>
      </c>
      <c r="D377" t="s">
        <v>158</v>
      </c>
      <c r="E377" t="s">
        <v>950</v>
      </c>
      <c r="F377" t="s">
        <v>77</v>
      </c>
      <c r="G377" t="s">
        <v>65</v>
      </c>
      <c r="H377" t="s">
        <v>66</v>
      </c>
      <c r="I377" t="s">
        <v>148</v>
      </c>
      <c r="J377" s="3">
        <v>44248</v>
      </c>
      <c r="K377">
        <v>4.9000000000000004</v>
      </c>
      <c r="L377">
        <v>22</v>
      </c>
      <c r="M377" s="4">
        <v>11300</v>
      </c>
      <c r="N377" s="4">
        <v>181614</v>
      </c>
      <c r="O377" t="s">
        <v>68</v>
      </c>
      <c r="P377" t="s">
        <v>69</v>
      </c>
      <c r="Q377">
        <v>3.02</v>
      </c>
      <c r="R377">
        <v>71</v>
      </c>
      <c r="S377">
        <v>16</v>
      </c>
      <c r="T377" t="s">
        <v>69</v>
      </c>
      <c r="U377">
        <v>0</v>
      </c>
      <c r="V377">
        <v>23</v>
      </c>
      <c r="W377" t="s">
        <v>70</v>
      </c>
      <c r="X377" t="s">
        <v>68</v>
      </c>
      <c r="Y377" t="s">
        <v>71</v>
      </c>
      <c r="Z377" t="s">
        <v>143</v>
      </c>
    </row>
    <row r="378" spans="1:26" x14ac:dyDescent="0.2">
      <c r="A378" t="s">
        <v>951</v>
      </c>
      <c r="B378" t="s">
        <v>424</v>
      </c>
      <c r="C378" t="s">
        <v>61</v>
      </c>
      <c r="D378" t="s">
        <v>218</v>
      </c>
      <c r="E378" t="s">
        <v>952</v>
      </c>
      <c r="F378" t="s">
        <v>120</v>
      </c>
      <c r="G378" t="s">
        <v>65</v>
      </c>
      <c r="H378" t="s">
        <v>78</v>
      </c>
      <c r="I378" t="s">
        <v>111</v>
      </c>
      <c r="J378" s="3">
        <v>45929</v>
      </c>
      <c r="K378">
        <v>0.3</v>
      </c>
      <c r="L378">
        <v>49</v>
      </c>
      <c r="M378" s="4">
        <v>7600</v>
      </c>
      <c r="N378" s="4">
        <v>112829</v>
      </c>
      <c r="O378" t="s">
        <v>68</v>
      </c>
      <c r="P378" t="s">
        <v>68</v>
      </c>
      <c r="Q378">
        <v>3.3</v>
      </c>
      <c r="R378">
        <v>76</v>
      </c>
      <c r="S378">
        <v>27</v>
      </c>
      <c r="T378" t="s">
        <v>69</v>
      </c>
      <c r="U378">
        <v>9</v>
      </c>
      <c r="V378">
        <v>8</v>
      </c>
      <c r="W378" t="s">
        <v>70</v>
      </c>
      <c r="X378" t="s">
        <v>68</v>
      </c>
      <c r="Y378" t="s">
        <v>71</v>
      </c>
      <c r="Z378" t="s">
        <v>61</v>
      </c>
    </row>
    <row r="379" spans="1:26" x14ac:dyDescent="0.2">
      <c r="A379" t="s">
        <v>953</v>
      </c>
      <c r="B379" t="s">
        <v>388</v>
      </c>
      <c r="C379" t="s">
        <v>74</v>
      </c>
      <c r="D379" t="s">
        <v>313</v>
      </c>
      <c r="E379" t="s">
        <v>358</v>
      </c>
      <c r="F379" t="s">
        <v>120</v>
      </c>
      <c r="G379" t="s">
        <v>85</v>
      </c>
      <c r="H379" t="s">
        <v>66</v>
      </c>
      <c r="I379" t="s">
        <v>111</v>
      </c>
      <c r="J379" s="3">
        <v>41506</v>
      </c>
      <c r="K379">
        <v>12.4</v>
      </c>
      <c r="L379">
        <v>49</v>
      </c>
      <c r="M379" s="4">
        <v>7900</v>
      </c>
      <c r="N379" s="4">
        <v>126997</v>
      </c>
      <c r="O379" t="s">
        <v>68</v>
      </c>
      <c r="P379" t="s">
        <v>68</v>
      </c>
      <c r="Q379">
        <v>2.68</v>
      </c>
      <c r="R379">
        <v>65</v>
      </c>
      <c r="S379">
        <v>12</v>
      </c>
      <c r="T379" t="s">
        <v>68</v>
      </c>
      <c r="U379">
        <v>6</v>
      </c>
      <c r="V379">
        <v>39</v>
      </c>
      <c r="W379" t="s">
        <v>70</v>
      </c>
      <c r="X379" t="s">
        <v>68</v>
      </c>
      <c r="Y379" t="s">
        <v>71</v>
      </c>
      <c r="Z379" t="s">
        <v>74</v>
      </c>
    </row>
    <row r="380" spans="1:26" x14ac:dyDescent="0.2">
      <c r="A380" t="s">
        <v>954</v>
      </c>
      <c r="B380" t="s">
        <v>142</v>
      </c>
      <c r="C380" t="s">
        <v>143</v>
      </c>
      <c r="D380" t="s">
        <v>552</v>
      </c>
      <c r="E380" t="s">
        <v>741</v>
      </c>
      <c r="F380" t="s">
        <v>77</v>
      </c>
      <c r="G380" t="s">
        <v>65</v>
      </c>
      <c r="H380" t="s">
        <v>66</v>
      </c>
      <c r="I380" t="s">
        <v>67</v>
      </c>
      <c r="J380" s="3">
        <v>43067</v>
      </c>
      <c r="K380">
        <v>8.1</v>
      </c>
      <c r="L380">
        <v>59</v>
      </c>
      <c r="M380" s="4">
        <v>9500</v>
      </c>
      <c r="N380" s="4">
        <v>140215</v>
      </c>
      <c r="O380" t="s">
        <v>68</v>
      </c>
      <c r="P380" t="s">
        <v>69</v>
      </c>
      <c r="Q380">
        <v>2.4500000000000002</v>
      </c>
      <c r="R380">
        <v>61</v>
      </c>
      <c r="S380">
        <v>38</v>
      </c>
      <c r="T380" t="s">
        <v>69</v>
      </c>
      <c r="U380">
        <v>4</v>
      </c>
      <c r="V380">
        <v>45</v>
      </c>
      <c r="W380" t="s">
        <v>70</v>
      </c>
      <c r="X380" t="s">
        <v>68</v>
      </c>
      <c r="Y380" t="s">
        <v>86</v>
      </c>
      <c r="Z380" t="s">
        <v>143</v>
      </c>
    </row>
    <row r="381" spans="1:26" x14ac:dyDescent="0.2">
      <c r="A381" t="s">
        <v>955</v>
      </c>
      <c r="B381" t="s">
        <v>864</v>
      </c>
      <c r="C381" t="s">
        <v>102</v>
      </c>
      <c r="D381" t="s">
        <v>103</v>
      </c>
      <c r="E381" t="s">
        <v>503</v>
      </c>
      <c r="F381" t="s">
        <v>136</v>
      </c>
      <c r="G381" t="s">
        <v>65</v>
      </c>
      <c r="H381" t="s">
        <v>78</v>
      </c>
      <c r="I381" t="s">
        <v>67</v>
      </c>
      <c r="J381" s="3">
        <v>43675</v>
      </c>
      <c r="K381">
        <v>6.4</v>
      </c>
      <c r="L381">
        <v>48</v>
      </c>
      <c r="M381" s="4">
        <v>11100</v>
      </c>
      <c r="N381" s="4">
        <v>162199</v>
      </c>
      <c r="O381" t="s">
        <v>68</v>
      </c>
      <c r="P381" t="s">
        <v>69</v>
      </c>
      <c r="Q381">
        <v>3.42</v>
      </c>
      <c r="R381">
        <v>68</v>
      </c>
      <c r="S381">
        <v>35</v>
      </c>
      <c r="T381" t="s">
        <v>69</v>
      </c>
      <c r="U381">
        <v>7</v>
      </c>
      <c r="V381">
        <v>28</v>
      </c>
      <c r="W381" t="s">
        <v>70</v>
      </c>
      <c r="X381" t="s">
        <v>68</v>
      </c>
      <c r="Y381" t="s">
        <v>71</v>
      </c>
      <c r="Z381" t="s">
        <v>102</v>
      </c>
    </row>
    <row r="382" spans="1:26" x14ac:dyDescent="0.2">
      <c r="A382" t="s">
        <v>956</v>
      </c>
      <c r="B382" t="s">
        <v>199</v>
      </c>
      <c r="C382" t="s">
        <v>12</v>
      </c>
      <c r="D382" t="s">
        <v>200</v>
      </c>
      <c r="E382" t="s">
        <v>486</v>
      </c>
      <c r="F382" t="s">
        <v>136</v>
      </c>
      <c r="G382" t="s">
        <v>65</v>
      </c>
      <c r="H382" t="s">
        <v>66</v>
      </c>
      <c r="I382" t="s">
        <v>67</v>
      </c>
      <c r="J382" s="3">
        <v>43129</v>
      </c>
      <c r="K382">
        <v>7.9</v>
      </c>
      <c r="L382">
        <v>26</v>
      </c>
      <c r="M382" s="4">
        <v>15800</v>
      </c>
      <c r="N382" s="4">
        <v>226718</v>
      </c>
      <c r="O382" t="s">
        <v>68</v>
      </c>
      <c r="P382" t="s">
        <v>68</v>
      </c>
      <c r="Q382">
        <v>3.62</v>
      </c>
      <c r="R382">
        <v>74</v>
      </c>
      <c r="S382">
        <v>32</v>
      </c>
      <c r="T382" t="s">
        <v>69</v>
      </c>
      <c r="U382">
        <v>3</v>
      </c>
      <c r="V382">
        <v>0</v>
      </c>
      <c r="W382" t="s">
        <v>70</v>
      </c>
      <c r="X382" t="s">
        <v>69</v>
      </c>
      <c r="Y382" t="s">
        <v>71</v>
      </c>
      <c r="Z382" t="s">
        <v>12</v>
      </c>
    </row>
    <row r="383" spans="1:26" x14ac:dyDescent="0.2">
      <c r="A383" t="s">
        <v>957</v>
      </c>
      <c r="B383" t="s">
        <v>794</v>
      </c>
      <c r="C383" t="s">
        <v>124</v>
      </c>
      <c r="D383" t="s">
        <v>125</v>
      </c>
      <c r="E383" t="s">
        <v>431</v>
      </c>
      <c r="F383" t="s">
        <v>77</v>
      </c>
      <c r="G383" t="s">
        <v>215</v>
      </c>
      <c r="H383" t="s">
        <v>78</v>
      </c>
      <c r="I383" t="s">
        <v>79</v>
      </c>
      <c r="J383" s="3">
        <v>42793</v>
      </c>
      <c r="K383">
        <v>8.8000000000000007</v>
      </c>
      <c r="L383">
        <v>32</v>
      </c>
      <c r="M383" s="4">
        <v>9800</v>
      </c>
      <c r="N383" s="4">
        <v>153891</v>
      </c>
      <c r="O383" t="s">
        <v>68</v>
      </c>
      <c r="P383" t="s">
        <v>68</v>
      </c>
      <c r="Q383">
        <v>2.65</v>
      </c>
      <c r="R383">
        <v>66</v>
      </c>
      <c r="S383">
        <v>16</v>
      </c>
      <c r="T383" t="s">
        <v>69</v>
      </c>
      <c r="U383">
        <v>0</v>
      </c>
      <c r="V383">
        <v>22</v>
      </c>
      <c r="W383" t="s">
        <v>70</v>
      </c>
      <c r="X383" t="s">
        <v>68</v>
      </c>
      <c r="Y383" t="s">
        <v>71</v>
      </c>
      <c r="Z383" t="s">
        <v>124</v>
      </c>
    </row>
    <row r="384" spans="1:26" x14ac:dyDescent="0.2">
      <c r="A384" t="s">
        <v>958</v>
      </c>
      <c r="B384" t="s">
        <v>959</v>
      </c>
      <c r="C384" t="s">
        <v>89</v>
      </c>
      <c r="D384" t="s">
        <v>230</v>
      </c>
      <c r="E384" t="s">
        <v>586</v>
      </c>
      <c r="F384" t="s">
        <v>92</v>
      </c>
      <c r="G384" t="s">
        <v>65</v>
      </c>
      <c r="H384" t="s">
        <v>78</v>
      </c>
      <c r="I384" t="s">
        <v>67</v>
      </c>
      <c r="J384" s="3">
        <v>43348</v>
      </c>
      <c r="K384">
        <v>7.3</v>
      </c>
      <c r="L384">
        <v>38</v>
      </c>
      <c r="M384" s="4">
        <v>3600</v>
      </c>
      <c r="N384" s="4">
        <v>52298</v>
      </c>
      <c r="O384" t="s">
        <v>68</v>
      </c>
      <c r="P384" t="s">
        <v>69</v>
      </c>
      <c r="Q384">
        <v>2.61</v>
      </c>
      <c r="R384">
        <v>52</v>
      </c>
      <c r="S384">
        <v>1</v>
      </c>
      <c r="T384" t="s">
        <v>68</v>
      </c>
      <c r="U384">
        <v>11</v>
      </c>
      <c r="V384">
        <v>1</v>
      </c>
      <c r="W384" t="s">
        <v>70</v>
      </c>
      <c r="X384" t="s">
        <v>68</v>
      </c>
      <c r="Y384" t="s">
        <v>86</v>
      </c>
      <c r="Z384" t="s">
        <v>89</v>
      </c>
    </row>
    <row r="385" spans="1:26" x14ac:dyDescent="0.2">
      <c r="A385" t="s">
        <v>960</v>
      </c>
      <c r="B385" t="s">
        <v>800</v>
      </c>
      <c r="C385" t="s">
        <v>133</v>
      </c>
      <c r="D385" t="s">
        <v>287</v>
      </c>
      <c r="E385" t="s">
        <v>288</v>
      </c>
      <c r="F385" t="s">
        <v>64</v>
      </c>
      <c r="G385" t="s">
        <v>65</v>
      </c>
      <c r="H385" t="s">
        <v>78</v>
      </c>
      <c r="I385" t="s">
        <v>67</v>
      </c>
      <c r="J385" s="3">
        <v>41252</v>
      </c>
      <c r="K385">
        <v>13.1</v>
      </c>
      <c r="L385">
        <v>33</v>
      </c>
      <c r="M385" s="4">
        <v>6600</v>
      </c>
      <c r="N385" s="4">
        <v>96373</v>
      </c>
      <c r="O385" t="s">
        <v>68</v>
      </c>
      <c r="P385" t="s">
        <v>69</v>
      </c>
      <c r="Q385">
        <v>3</v>
      </c>
      <c r="R385">
        <v>75</v>
      </c>
      <c r="S385">
        <v>38</v>
      </c>
      <c r="T385" t="s">
        <v>69</v>
      </c>
      <c r="U385">
        <v>5</v>
      </c>
      <c r="V385">
        <v>27</v>
      </c>
      <c r="W385" t="s">
        <v>70</v>
      </c>
      <c r="X385" t="s">
        <v>68</v>
      </c>
      <c r="Y385" t="s">
        <v>71</v>
      </c>
      <c r="Z385" t="s">
        <v>133</v>
      </c>
    </row>
    <row r="386" spans="1:26" x14ac:dyDescent="0.2">
      <c r="A386" t="s">
        <v>961</v>
      </c>
      <c r="B386" t="s">
        <v>962</v>
      </c>
      <c r="C386" t="s">
        <v>12</v>
      </c>
      <c r="D386" t="s">
        <v>421</v>
      </c>
      <c r="E386" t="s">
        <v>963</v>
      </c>
      <c r="F386" t="s">
        <v>136</v>
      </c>
      <c r="G386" t="s">
        <v>65</v>
      </c>
      <c r="H386" t="s">
        <v>78</v>
      </c>
      <c r="I386" t="s">
        <v>148</v>
      </c>
      <c r="J386" s="3">
        <v>44332</v>
      </c>
      <c r="K386">
        <v>4.5999999999999996</v>
      </c>
      <c r="L386">
        <v>32</v>
      </c>
      <c r="M386" s="4">
        <v>12800</v>
      </c>
      <c r="N386" s="4">
        <v>193441</v>
      </c>
      <c r="O386" t="s">
        <v>69</v>
      </c>
      <c r="P386" t="s">
        <v>68</v>
      </c>
      <c r="Q386">
        <v>3.38</v>
      </c>
      <c r="R386">
        <v>62</v>
      </c>
      <c r="S386">
        <v>29</v>
      </c>
      <c r="T386" t="s">
        <v>69</v>
      </c>
      <c r="U386">
        <v>11</v>
      </c>
      <c r="V386">
        <v>0</v>
      </c>
      <c r="W386" t="s">
        <v>68</v>
      </c>
      <c r="X386" t="s">
        <v>68</v>
      </c>
      <c r="Y386" t="s">
        <v>71</v>
      </c>
      <c r="Z386" t="s">
        <v>12</v>
      </c>
    </row>
    <row r="387" spans="1:26" x14ac:dyDescent="0.2">
      <c r="A387" t="s">
        <v>964</v>
      </c>
      <c r="B387" t="s">
        <v>327</v>
      </c>
      <c r="C387" t="s">
        <v>102</v>
      </c>
      <c r="D387" t="s">
        <v>183</v>
      </c>
      <c r="E387" t="s">
        <v>965</v>
      </c>
      <c r="F387" t="s">
        <v>136</v>
      </c>
      <c r="G387" t="s">
        <v>215</v>
      </c>
      <c r="H387" t="s">
        <v>78</v>
      </c>
      <c r="I387" t="s">
        <v>67</v>
      </c>
      <c r="J387" s="3">
        <v>42473</v>
      </c>
      <c r="K387">
        <v>9.6999999999999993</v>
      </c>
      <c r="L387">
        <v>37</v>
      </c>
      <c r="M387" s="4">
        <v>13900</v>
      </c>
      <c r="N387" s="4">
        <v>226068</v>
      </c>
      <c r="O387" t="s">
        <v>68</v>
      </c>
      <c r="P387" t="s">
        <v>69</v>
      </c>
      <c r="Q387">
        <v>2.64</v>
      </c>
      <c r="R387">
        <v>73</v>
      </c>
      <c r="S387">
        <v>19</v>
      </c>
      <c r="T387" t="s">
        <v>69</v>
      </c>
      <c r="U387">
        <v>7</v>
      </c>
      <c r="V387">
        <v>51</v>
      </c>
      <c r="W387" t="s">
        <v>70</v>
      </c>
      <c r="X387" t="s">
        <v>68</v>
      </c>
      <c r="Y387" t="s">
        <v>71</v>
      </c>
      <c r="Z387" t="s">
        <v>102</v>
      </c>
    </row>
    <row r="388" spans="1:26" x14ac:dyDescent="0.2">
      <c r="A388" t="s">
        <v>966</v>
      </c>
      <c r="B388" t="s">
        <v>967</v>
      </c>
      <c r="C388" t="s">
        <v>74</v>
      </c>
      <c r="D388" t="s">
        <v>313</v>
      </c>
      <c r="E388" t="s">
        <v>427</v>
      </c>
      <c r="F388" t="s">
        <v>77</v>
      </c>
      <c r="G388" t="s">
        <v>65</v>
      </c>
      <c r="H388" t="s">
        <v>66</v>
      </c>
      <c r="I388" t="s">
        <v>148</v>
      </c>
      <c r="J388" s="3">
        <v>43975</v>
      </c>
      <c r="K388">
        <v>5.6</v>
      </c>
      <c r="L388">
        <v>51</v>
      </c>
      <c r="M388" s="4">
        <v>10900</v>
      </c>
      <c r="N388" s="4">
        <v>162436</v>
      </c>
      <c r="O388" t="s">
        <v>68</v>
      </c>
      <c r="P388" t="s">
        <v>68</v>
      </c>
      <c r="Q388">
        <v>3.34</v>
      </c>
      <c r="R388">
        <v>74</v>
      </c>
      <c r="S388">
        <v>20</v>
      </c>
      <c r="T388" t="s">
        <v>68</v>
      </c>
      <c r="U388">
        <v>0</v>
      </c>
      <c r="V388">
        <v>13</v>
      </c>
      <c r="W388" t="s">
        <v>70</v>
      </c>
      <c r="X388" t="s">
        <v>68</v>
      </c>
      <c r="Y388" t="s">
        <v>71</v>
      </c>
      <c r="Z388" t="s">
        <v>74</v>
      </c>
    </row>
    <row r="389" spans="1:26" x14ac:dyDescent="0.2">
      <c r="A389" t="s">
        <v>968</v>
      </c>
      <c r="B389" t="s">
        <v>295</v>
      </c>
      <c r="C389" t="s">
        <v>12</v>
      </c>
      <c r="D389" t="s">
        <v>200</v>
      </c>
      <c r="E389" t="s">
        <v>541</v>
      </c>
      <c r="F389" t="s">
        <v>120</v>
      </c>
      <c r="G389" t="s">
        <v>65</v>
      </c>
      <c r="H389" t="s">
        <v>66</v>
      </c>
      <c r="I389" t="s">
        <v>67</v>
      </c>
      <c r="J389" s="3">
        <v>45077</v>
      </c>
      <c r="K389">
        <v>2.6</v>
      </c>
      <c r="L389">
        <v>33</v>
      </c>
      <c r="M389" s="4">
        <v>7300</v>
      </c>
      <c r="N389" s="4">
        <v>115641</v>
      </c>
      <c r="O389" t="s">
        <v>68</v>
      </c>
      <c r="P389" t="s">
        <v>69</v>
      </c>
      <c r="Q389">
        <v>3.01</v>
      </c>
      <c r="R389">
        <v>59</v>
      </c>
      <c r="S389">
        <v>36</v>
      </c>
      <c r="T389" t="s">
        <v>69</v>
      </c>
      <c r="U389">
        <v>12</v>
      </c>
      <c r="V389">
        <v>14</v>
      </c>
      <c r="W389" t="s">
        <v>70</v>
      </c>
      <c r="X389" t="s">
        <v>68</v>
      </c>
      <c r="Y389" t="s">
        <v>71</v>
      </c>
      <c r="Z389" t="s">
        <v>12</v>
      </c>
    </row>
    <row r="390" spans="1:26" x14ac:dyDescent="0.2">
      <c r="A390" t="s">
        <v>969</v>
      </c>
      <c r="B390" t="s">
        <v>594</v>
      </c>
      <c r="C390" t="s">
        <v>102</v>
      </c>
      <c r="D390" t="s">
        <v>166</v>
      </c>
      <c r="E390" t="s">
        <v>686</v>
      </c>
      <c r="F390" t="s">
        <v>64</v>
      </c>
      <c r="G390" t="s">
        <v>215</v>
      </c>
      <c r="H390" t="s">
        <v>78</v>
      </c>
      <c r="I390" t="s">
        <v>67</v>
      </c>
      <c r="J390" s="3">
        <v>44483</v>
      </c>
      <c r="K390">
        <v>4.2</v>
      </c>
      <c r="L390">
        <v>48</v>
      </c>
      <c r="M390" s="4">
        <v>6600</v>
      </c>
      <c r="N390" s="4">
        <v>96329</v>
      </c>
      <c r="O390" t="s">
        <v>68</v>
      </c>
      <c r="P390" t="s">
        <v>69</v>
      </c>
      <c r="Q390">
        <v>3.17</v>
      </c>
      <c r="R390">
        <v>50</v>
      </c>
      <c r="S390">
        <v>19</v>
      </c>
      <c r="T390" t="s">
        <v>69</v>
      </c>
      <c r="U390">
        <v>10</v>
      </c>
      <c r="V390">
        <v>32</v>
      </c>
      <c r="W390" t="s">
        <v>70</v>
      </c>
      <c r="X390" t="s">
        <v>68</v>
      </c>
      <c r="Y390" t="s">
        <v>86</v>
      </c>
      <c r="Z390" t="s">
        <v>102</v>
      </c>
    </row>
    <row r="391" spans="1:26" x14ac:dyDescent="0.2">
      <c r="A391" t="s">
        <v>970</v>
      </c>
      <c r="B391" t="s">
        <v>875</v>
      </c>
      <c r="C391" t="s">
        <v>102</v>
      </c>
      <c r="D391" t="s">
        <v>339</v>
      </c>
      <c r="E391" t="s">
        <v>340</v>
      </c>
      <c r="F391" t="s">
        <v>77</v>
      </c>
      <c r="G391" t="s">
        <v>65</v>
      </c>
      <c r="H391" t="s">
        <v>66</v>
      </c>
      <c r="I391" t="s">
        <v>67</v>
      </c>
      <c r="J391" s="3">
        <v>42309</v>
      </c>
      <c r="K391">
        <v>10.199999999999999</v>
      </c>
      <c r="L391">
        <v>51</v>
      </c>
      <c r="M391" s="4">
        <v>8200</v>
      </c>
      <c r="N391" s="4">
        <v>123807</v>
      </c>
      <c r="O391" t="s">
        <v>68</v>
      </c>
      <c r="P391" t="s">
        <v>69</v>
      </c>
      <c r="Q391">
        <v>3.09</v>
      </c>
      <c r="R391">
        <v>65</v>
      </c>
      <c r="S391">
        <v>17</v>
      </c>
      <c r="T391" t="s">
        <v>69</v>
      </c>
      <c r="U391">
        <v>6</v>
      </c>
      <c r="V391">
        <v>43</v>
      </c>
      <c r="W391" t="s">
        <v>70</v>
      </c>
      <c r="X391" t="s">
        <v>68</v>
      </c>
      <c r="Y391" t="s">
        <v>71</v>
      </c>
      <c r="Z391" t="s">
        <v>102</v>
      </c>
    </row>
    <row r="392" spans="1:26" x14ac:dyDescent="0.2">
      <c r="A392" t="s">
        <v>971</v>
      </c>
      <c r="B392" t="s">
        <v>471</v>
      </c>
      <c r="C392" t="s">
        <v>124</v>
      </c>
      <c r="D392" t="s">
        <v>465</v>
      </c>
      <c r="E392" t="s">
        <v>972</v>
      </c>
      <c r="F392" t="s">
        <v>84</v>
      </c>
      <c r="G392" t="s">
        <v>65</v>
      </c>
      <c r="H392" t="s">
        <v>78</v>
      </c>
      <c r="I392" t="s">
        <v>148</v>
      </c>
      <c r="J392" s="3">
        <v>41445</v>
      </c>
      <c r="K392">
        <v>12.5</v>
      </c>
      <c r="L392">
        <v>50</v>
      </c>
      <c r="M392" s="4">
        <v>16600</v>
      </c>
      <c r="N392" s="4">
        <v>250388</v>
      </c>
      <c r="O392" t="s">
        <v>69</v>
      </c>
      <c r="P392" t="s">
        <v>68</v>
      </c>
      <c r="Q392">
        <v>2.59</v>
      </c>
      <c r="R392">
        <v>53</v>
      </c>
      <c r="S392">
        <v>44</v>
      </c>
      <c r="T392" t="s">
        <v>69</v>
      </c>
      <c r="U392">
        <v>3</v>
      </c>
      <c r="V392">
        <v>20</v>
      </c>
      <c r="W392" t="s">
        <v>68</v>
      </c>
      <c r="X392" t="s">
        <v>68</v>
      </c>
      <c r="Y392" t="s">
        <v>86</v>
      </c>
      <c r="Z392" t="s">
        <v>124</v>
      </c>
    </row>
    <row r="393" spans="1:26" x14ac:dyDescent="0.2">
      <c r="A393" t="s">
        <v>973</v>
      </c>
      <c r="B393" t="s">
        <v>974</v>
      </c>
      <c r="C393" t="s">
        <v>102</v>
      </c>
      <c r="D393" t="s">
        <v>339</v>
      </c>
      <c r="E393" t="s">
        <v>340</v>
      </c>
      <c r="F393" t="s">
        <v>77</v>
      </c>
      <c r="G393" t="s">
        <v>65</v>
      </c>
      <c r="H393" t="s">
        <v>78</v>
      </c>
      <c r="I393" t="s">
        <v>236</v>
      </c>
      <c r="J393" s="3">
        <v>43075</v>
      </c>
      <c r="K393">
        <v>8.1</v>
      </c>
      <c r="L393">
        <v>44</v>
      </c>
      <c r="M393" s="4">
        <v>10600</v>
      </c>
      <c r="N393" s="4">
        <v>168449</v>
      </c>
      <c r="O393" t="s">
        <v>68</v>
      </c>
      <c r="P393" t="s">
        <v>69</v>
      </c>
      <c r="Q393">
        <v>2.3199999999999998</v>
      </c>
      <c r="R393">
        <v>56</v>
      </c>
      <c r="S393">
        <v>22</v>
      </c>
      <c r="T393" t="s">
        <v>69</v>
      </c>
      <c r="U393">
        <v>2</v>
      </c>
      <c r="V393">
        <v>26</v>
      </c>
      <c r="W393" t="s">
        <v>70</v>
      </c>
      <c r="X393" t="s">
        <v>68</v>
      </c>
      <c r="Y393" t="s">
        <v>86</v>
      </c>
      <c r="Z393" t="s">
        <v>102</v>
      </c>
    </row>
    <row r="394" spans="1:26" x14ac:dyDescent="0.2">
      <c r="A394" t="s">
        <v>975</v>
      </c>
      <c r="B394" t="s">
        <v>368</v>
      </c>
      <c r="C394" t="s">
        <v>96</v>
      </c>
      <c r="D394" t="s">
        <v>129</v>
      </c>
      <c r="E394" t="s">
        <v>562</v>
      </c>
      <c r="F394" t="s">
        <v>77</v>
      </c>
      <c r="G394" t="s">
        <v>65</v>
      </c>
      <c r="H394" t="s">
        <v>66</v>
      </c>
      <c r="I394" t="s">
        <v>554</v>
      </c>
      <c r="J394" s="3">
        <v>45099</v>
      </c>
      <c r="K394">
        <v>2.5</v>
      </c>
      <c r="L394">
        <v>55</v>
      </c>
      <c r="M394" s="4">
        <v>11900</v>
      </c>
      <c r="N394" s="4">
        <v>181939</v>
      </c>
      <c r="O394" t="s">
        <v>69</v>
      </c>
      <c r="P394" t="s">
        <v>69</v>
      </c>
      <c r="Q394">
        <v>2.61</v>
      </c>
      <c r="R394">
        <v>57</v>
      </c>
      <c r="S394">
        <v>10</v>
      </c>
      <c r="T394" t="s">
        <v>69</v>
      </c>
      <c r="U394">
        <v>11</v>
      </c>
      <c r="V394">
        <v>0</v>
      </c>
      <c r="W394" t="s">
        <v>69</v>
      </c>
      <c r="X394" t="s">
        <v>68</v>
      </c>
      <c r="Y394" t="s">
        <v>71</v>
      </c>
      <c r="Z394" t="s">
        <v>96</v>
      </c>
    </row>
    <row r="395" spans="1:26" x14ac:dyDescent="0.2">
      <c r="A395" t="s">
        <v>976</v>
      </c>
      <c r="B395" t="s">
        <v>977</v>
      </c>
      <c r="C395" t="s">
        <v>89</v>
      </c>
      <c r="D395" t="s">
        <v>90</v>
      </c>
      <c r="E395" t="s">
        <v>333</v>
      </c>
      <c r="F395" t="s">
        <v>136</v>
      </c>
      <c r="G395" t="s">
        <v>65</v>
      </c>
      <c r="H395" t="s">
        <v>66</v>
      </c>
      <c r="I395" t="s">
        <v>111</v>
      </c>
      <c r="J395" s="3">
        <v>45712</v>
      </c>
      <c r="K395">
        <v>0.9</v>
      </c>
      <c r="L395">
        <v>47</v>
      </c>
      <c r="M395" s="4">
        <v>15000</v>
      </c>
      <c r="N395" s="4">
        <v>247827</v>
      </c>
      <c r="O395" t="s">
        <v>68</v>
      </c>
      <c r="P395" t="s">
        <v>69</v>
      </c>
      <c r="Q395">
        <v>3.12</v>
      </c>
      <c r="R395">
        <v>54</v>
      </c>
      <c r="S395">
        <v>39</v>
      </c>
      <c r="T395" t="s">
        <v>69</v>
      </c>
      <c r="U395">
        <v>3</v>
      </c>
      <c r="V395">
        <v>12</v>
      </c>
      <c r="W395" t="s">
        <v>70</v>
      </c>
      <c r="X395" t="s">
        <v>68</v>
      </c>
      <c r="Y395" t="s">
        <v>71</v>
      </c>
      <c r="Z395" t="s">
        <v>89</v>
      </c>
    </row>
    <row r="396" spans="1:26" x14ac:dyDescent="0.2">
      <c r="A396" t="s">
        <v>978</v>
      </c>
      <c r="B396" t="s">
        <v>507</v>
      </c>
      <c r="C396" t="s">
        <v>89</v>
      </c>
      <c r="D396" t="s">
        <v>230</v>
      </c>
      <c r="E396" t="s">
        <v>979</v>
      </c>
      <c r="F396" t="s">
        <v>136</v>
      </c>
      <c r="G396" t="s">
        <v>65</v>
      </c>
      <c r="H396" t="s">
        <v>78</v>
      </c>
      <c r="I396" t="s">
        <v>67</v>
      </c>
      <c r="J396" s="3">
        <v>42183</v>
      </c>
      <c r="K396">
        <v>10.5</v>
      </c>
      <c r="L396">
        <v>48</v>
      </c>
      <c r="M396" s="4">
        <v>15200</v>
      </c>
      <c r="N396" s="4">
        <v>217776</v>
      </c>
      <c r="O396" t="s">
        <v>68</v>
      </c>
      <c r="P396" t="s">
        <v>69</v>
      </c>
      <c r="Q396">
        <v>3.24</v>
      </c>
      <c r="R396">
        <v>45</v>
      </c>
      <c r="S396">
        <v>17</v>
      </c>
      <c r="T396" t="s">
        <v>69</v>
      </c>
      <c r="U396">
        <v>0</v>
      </c>
      <c r="V396">
        <v>30</v>
      </c>
      <c r="W396" t="s">
        <v>70</v>
      </c>
      <c r="X396" t="s">
        <v>68</v>
      </c>
      <c r="Y396" t="s">
        <v>86</v>
      </c>
      <c r="Z396" t="s">
        <v>89</v>
      </c>
    </row>
    <row r="397" spans="1:26" x14ac:dyDescent="0.2">
      <c r="A397" t="s">
        <v>980</v>
      </c>
      <c r="B397" t="s">
        <v>981</v>
      </c>
      <c r="C397" t="s">
        <v>12</v>
      </c>
      <c r="D397" t="s">
        <v>82</v>
      </c>
      <c r="E397" t="s">
        <v>982</v>
      </c>
      <c r="F397" t="s">
        <v>120</v>
      </c>
      <c r="G397" t="s">
        <v>65</v>
      </c>
      <c r="H397" t="s">
        <v>78</v>
      </c>
      <c r="I397" t="s">
        <v>111</v>
      </c>
      <c r="J397" s="3">
        <v>41891</v>
      </c>
      <c r="K397">
        <v>11.3</v>
      </c>
      <c r="L397">
        <v>29</v>
      </c>
      <c r="M397" s="4">
        <v>8400</v>
      </c>
      <c r="N397" s="4">
        <v>127956</v>
      </c>
      <c r="O397" t="s">
        <v>68</v>
      </c>
      <c r="P397" t="s">
        <v>68</v>
      </c>
      <c r="Q397">
        <v>3.47</v>
      </c>
      <c r="R397">
        <v>65</v>
      </c>
      <c r="S397">
        <v>24</v>
      </c>
      <c r="T397" t="s">
        <v>69</v>
      </c>
      <c r="U397">
        <v>5</v>
      </c>
      <c r="V397">
        <v>7</v>
      </c>
      <c r="W397" t="s">
        <v>70</v>
      </c>
      <c r="X397" t="s">
        <v>68</v>
      </c>
      <c r="Y397" t="s">
        <v>71</v>
      </c>
      <c r="Z397" t="s">
        <v>12</v>
      </c>
    </row>
    <row r="398" spans="1:26" x14ac:dyDescent="0.2">
      <c r="A398" t="s">
        <v>983</v>
      </c>
      <c r="B398" t="s">
        <v>590</v>
      </c>
      <c r="C398" t="s">
        <v>12</v>
      </c>
      <c r="D398" t="s">
        <v>200</v>
      </c>
      <c r="E398" t="s">
        <v>984</v>
      </c>
      <c r="F398" t="s">
        <v>191</v>
      </c>
      <c r="G398" t="s">
        <v>65</v>
      </c>
      <c r="H398" t="s">
        <v>78</v>
      </c>
      <c r="I398" t="s">
        <v>67</v>
      </c>
      <c r="J398" s="3">
        <v>41033</v>
      </c>
      <c r="K398">
        <v>13.7</v>
      </c>
      <c r="L398">
        <v>56</v>
      </c>
      <c r="M398" s="4">
        <v>36100</v>
      </c>
      <c r="N398" s="4">
        <v>575583</v>
      </c>
      <c r="O398" t="s">
        <v>69</v>
      </c>
      <c r="P398" t="s">
        <v>68</v>
      </c>
      <c r="Q398">
        <v>3.03</v>
      </c>
      <c r="R398">
        <v>67</v>
      </c>
      <c r="S398">
        <v>45</v>
      </c>
      <c r="T398" t="s">
        <v>69</v>
      </c>
      <c r="U398">
        <v>9</v>
      </c>
      <c r="V398">
        <v>15</v>
      </c>
      <c r="W398" t="s">
        <v>68</v>
      </c>
      <c r="X398" t="s">
        <v>68</v>
      </c>
      <c r="Y398" t="s">
        <v>71</v>
      </c>
      <c r="Z398" t="s">
        <v>12</v>
      </c>
    </row>
    <row r="399" spans="1:26" x14ac:dyDescent="0.2">
      <c r="A399" t="s">
        <v>985</v>
      </c>
      <c r="B399" t="s">
        <v>474</v>
      </c>
      <c r="C399" t="s">
        <v>89</v>
      </c>
      <c r="D399" t="s">
        <v>90</v>
      </c>
      <c r="E399" t="s">
        <v>333</v>
      </c>
      <c r="F399" t="s">
        <v>136</v>
      </c>
      <c r="G399" t="s">
        <v>65</v>
      </c>
      <c r="H399" t="s">
        <v>66</v>
      </c>
      <c r="I399" t="s">
        <v>121</v>
      </c>
      <c r="J399" s="3">
        <v>41131</v>
      </c>
      <c r="K399">
        <v>13.4</v>
      </c>
      <c r="L399">
        <v>49</v>
      </c>
      <c r="M399" s="4">
        <v>15200</v>
      </c>
      <c r="N399" s="4">
        <v>243893</v>
      </c>
      <c r="O399" t="s">
        <v>68</v>
      </c>
      <c r="P399" t="s">
        <v>69</v>
      </c>
      <c r="Q399">
        <v>3.11</v>
      </c>
      <c r="R399">
        <v>61</v>
      </c>
      <c r="S399">
        <v>25</v>
      </c>
      <c r="T399" t="s">
        <v>69</v>
      </c>
      <c r="U399">
        <v>3</v>
      </c>
      <c r="V399">
        <v>43</v>
      </c>
      <c r="W399" t="s">
        <v>70</v>
      </c>
      <c r="X399" t="s">
        <v>68</v>
      </c>
      <c r="Y399" t="s">
        <v>86</v>
      </c>
      <c r="Z399" t="s">
        <v>89</v>
      </c>
    </row>
    <row r="400" spans="1:26" x14ac:dyDescent="0.2">
      <c r="A400" t="s">
        <v>986</v>
      </c>
      <c r="B400" t="s">
        <v>987</v>
      </c>
      <c r="C400" t="s">
        <v>89</v>
      </c>
      <c r="D400" t="s">
        <v>90</v>
      </c>
      <c r="E400" t="s">
        <v>348</v>
      </c>
      <c r="F400" t="s">
        <v>77</v>
      </c>
      <c r="G400" t="s">
        <v>85</v>
      </c>
      <c r="H400" t="s">
        <v>78</v>
      </c>
      <c r="I400" t="s">
        <v>79</v>
      </c>
      <c r="J400" s="3">
        <v>41169</v>
      </c>
      <c r="K400">
        <v>13.3</v>
      </c>
      <c r="L400">
        <v>46</v>
      </c>
      <c r="M400" s="4">
        <v>8700</v>
      </c>
      <c r="N400" s="4">
        <v>125370</v>
      </c>
      <c r="O400" t="s">
        <v>69</v>
      </c>
      <c r="P400" t="s">
        <v>69</v>
      </c>
      <c r="Q400">
        <v>2.65</v>
      </c>
      <c r="R400">
        <v>58</v>
      </c>
      <c r="S400">
        <v>30</v>
      </c>
      <c r="T400" t="s">
        <v>69</v>
      </c>
      <c r="U400">
        <v>3</v>
      </c>
      <c r="V400">
        <v>41</v>
      </c>
      <c r="W400" t="s">
        <v>68</v>
      </c>
      <c r="X400" t="s">
        <v>68</v>
      </c>
      <c r="Y400" t="s">
        <v>86</v>
      </c>
      <c r="Z400" t="s">
        <v>89</v>
      </c>
    </row>
    <row r="401" spans="1:26" x14ac:dyDescent="0.2">
      <c r="A401" t="s">
        <v>988</v>
      </c>
      <c r="B401" t="s">
        <v>290</v>
      </c>
      <c r="C401" t="s">
        <v>143</v>
      </c>
      <c r="D401" t="s">
        <v>158</v>
      </c>
      <c r="E401" t="s">
        <v>577</v>
      </c>
      <c r="F401" t="s">
        <v>120</v>
      </c>
      <c r="G401" t="s">
        <v>65</v>
      </c>
      <c r="H401" t="s">
        <v>66</v>
      </c>
      <c r="I401" t="s">
        <v>99</v>
      </c>
      <c r="J401" s="3">
        <v>45086</v>
      </c>
      <c r="K401">
        <v>2.6</v>
      </c>
      <c r="L401">
        <v>52</v>
      </c>
      <c r="M401" s="4">
        <v>7200</v>
      </c>
      <c r="N401" s="4">
        <v>111207</v>
      </c>
      <c r="O401" t="s">
        <v>68</v>
      </c>
      <c r="P401" t="s">
        <v>69</v>
      </c>
      <c r="Q401">
        <v>3.23</v>
      </c>
      <c r="R401">
        <v>60</v>
      </c>
      <c r="S401">
        <v>33</v>
      </c>
      <c r="T401" t="s">
        <v>69</v>
      </c>
      <c r="U401">
        <v>13</v>
      </c>
      <c r="V401">
        <v>24</v>
      </c>
      <c r="W401" t="s">
        <v>70</v>
      </c>
      <c r="X401" t="s">
        <v>68</v>
      </c>
      <c r="Y401" t="s">
        <v>71</v>
      </c>
      <c r="Z401" t="s">
        <v>143</v>
      </c>
    </row>
    <row r="402" spans="1:26" x14ac:dyDescent="0.2">
      <c r="A402" t="s">
        <v>989</v>
      </c>
      <c r="B402" t="s">
        <v>246</v>
      </c>
      <c r="C402" t="s">
        <v>12</v>
      </c>
      <c r="D402" t="s">
        <v>421</v>
      </c>
      <c r="E402" t="s">
        <v>422</v>
      </c>
      <c r="F402" t="s">
        <v>77</v>
      </c>
      <c r="G402" t="s">
        <v>65</v>
      </c>
      <c r="H402" t="s">
        <v>66</v>
      </c>
      <c r="I402" t="s">
        <v>148</v>
      </c>
      <c r="J402" s="3">
        <v>43223</v>
      </c>
      <c r="K402">
        <v>7.7</v>
      </c>
      <c r="L402">
        <v>58</v>
      </c>
      <c r="M402" s="4">
        <v>10100</v>
      </c>
      <c r="N402" s="4">
        <v>146186</v>
      </c>
      <c r="O402" t="s">
        <v>68</v>
      </c>
      <c r="P402" t="s">
        <v>68</v>
      </c>
      <c r="Q402">
        <v>2.87</v>
      </c>
      <c r="R402">
        <v>62</v>
      </c>
      <c r="S402">
        <v>25</v>
      </c>
      <c r="T402" t="s">
        <v>69</v>
      </c>
      <c r="U402">
        <v>11</v>
      </c>
      <c r="V402">
        <v>10</v>
      </c>
      <c r="W402" t="s">
        <v>70</v>
      </c>
      <c r="X402" t="s">
        <v>68</v>
      </c>
      <c r="Y402" t="s">
        <v>71</v>
      </c>
      <c r="Z402" t="s">
        <v>12</v>
      </c>
    </row>
    <row r="403" spans="1:26" x14ac:dyDescent="0.2">
      <c r="A403" t="s">
        <v>990</v>
      </c>
      <c r="B403" t="s">
        <v>157</v>
      </c>
      <c r="C403" t="s">
        <v>61</v>
      </c>
      <c r="D403" t="s">
        <v>604</v>
      </c>
      <c r="E403" t="s">
        <v>991</v>
      </c>
      <c r="F403" t="s">
        <v>92</v>
      </c>
      <c r="G403" t="s">
        <v>85</v>
      </c>
      <c r="H403" t="s">
        <v>78</v>
      </c>
      <c r="I403" t="s">
        <v>121</v>
      </c>
      <c r="J403" s="3">
        <v>45124</v>
      </c>
      <c r="K403">
        <v>2.5</v>
      </c>
      <c r="L403">
        <v>47</v>
      </c>
      <c r="M403" s="4">
        <v>3900</v>
      </c>
      <c r="N403" s="4">
        <v>57941</v>
      </c>
      <c r="O403" t="s">
        <v>68</v>
      </c>
      <c r="P403" t="s">
        <v>68</v>
      </c>
      <c r="Q403">
        <v>2.95</v>
      </c>
      <c r="R403">
        <v>60</v>
      </c>
      <c r="S403">
        <v>19</v>
      </c>
      <c r="T403" t="s">
        <v>69</v>
      </c>
      <c r="U403">
        <v>9</v>
      </c>
      <c r="V403">
        <v>4</v>
      </c>
      <c r="W403" t="s">
        <v>70</v>
      </c>
      <c r="X403" t="s">
        <v>68</v>
      </c>
      <c r="Y403" t="s">
        <v>71</v>
      </c>
      <c r="Z403" t="s">
        <v>61</v>
      </c>
    </row>
    <row r="404" spans="1:26" x14ac:dyDescent="0.2">
      <c r="A404" t="s">
        <v>992</v>
      </c>
      <c r="B404" t="s">
        <v>368</v>
      </c>
      <c r="C404" t="s">
        <v>133</v>
      </c>
      <c r="D404" t="s">
        <v>134</v>
      </c>
      <c r="E404" t="s">
        <v>993</v>
      </c>
      <c r="F404" t="s">
        <v>77</v>
      </c>
      <c r="G404" t="s">
        <v>65</v>
      </c>
      <c r="H404" t="s">
        <v>66</v>
      </c>
      <c r="I404" t="s">
        <v>67</v>
      </c>
      <c r="J404" s="3">
        <v>45204</v>
      </c>
      <c r="K404">
        <v>2.2000000000000002</v>
      </c>
      <c r="L404">
        <v>59</v>
      </c>
      <c r="M404" s="4">
        <v>12000</v>
      </c>
      <c r="N404" s="4">
        <v>173205</v>
      </c>
      <c r="O404" t="s">
        <v>68</v>
      </c>
      <c r="P404" t="s">
        <v>68</v>
      </c>
      <c r="Q404">
        <v>2.72</v>
      </c>
      <c r="R404">
        <v>66</v>
      </c>
      <c r="S404">
        <v>0</v>
      </c>
      <c r="T404" t="s">
        <v>69</v>
      </c>
      <c r="U404">
        <v>12</v>
      </c>
      <c r="V404">
        <v>0</v>
      </c>
      <c r="W404" t="s">
        <v>70</v>
      </c>
      <c r="X404" t="s">
        <v>68</v>
      </c>
      <c r="Y404" t="s">
        <v>71</v>
      </c>
      <c r="Z404" t="s">
        <v>133</v>
      </c>
    </row>
    <row r="405" spans="1:26" x14ac:dyDescent="0.2">
      <c r="A405" t="s">
        <v>994</v>
      </c>
      <c r="B405" t="s">
        <v>619</v>
      </c>
      <c r="C405" t="s">
        <v>133</v>
      </c>
      <c r="D405" t="s">
        <v>287</v>
      </c>
      <c r="E405" t="s">
        <v>995</v>
      </c>
      <c r="F405" t="s">
        <v>84</v>
      </c>
      <c r="G405" t="s">
        <v>65</v>
      </c>
      <c r="H405" t="s">
        <v>66</v>
      </c>
      <c r="I405" t="s">
        <v>111</v>
      </c>
      <c r="J405" s="3">
        <v>41125</v>
      </c>
      <c r="K405">
        <v>13.4</v>
      </c>
      <c r="L405">
        <v>30</v>
      </c>
      <c r="M405" s="4">
        <v>25500</v>
      </c>
      <c r="N405" s="4">
        <v>362469</v>
      </c>
      <c r="O405" t="s">
        <v>69</v>
      </c>
      <c r="P405" t="s">
        <v>68</v>
      </c>
      <c r="Q405">
        <v>3.34</v>
      </c>
      <c r="R405">
        <v>80</v>
      </c>
      <c r="S405">
        <v>31</v>
      </c>
      <c r="T405" t="s">
        <v>69</v>
      </c>
      <c r="U405">
        <v>3</v>
      </c>
      <c r="V405">
        <v>28</v>
      </c>
      <c r="W405" t="s">
        <v>68</v>
      </c>
      <c r="X405" t="s">
        <v>68</v>
      </c>
      <c r="Y405" t="s">
        <v>71</v>
      </c>
      <c r="Z405" t="s">
        <v>133</v>
      </c>
    </row>
    <row r="406" spans="1:26" x14ac:dyDescent="0.2">
      <c r="A406" t="s">
        <v>996</v>
      </c>
      <c r="B406" t="s">
        <v>255</v>
      </c>
      <c r="C406" t="s">
        <v>96</v>
      </c>
      <c r="D406" t="s">
        <v>234</v>
      </c>
      <c r="E406" t="s">
        <v>408</v>
      </c>
      <c r="F406" t="s">
        <v>120</v>
      </c>
      <c r="G406" t="s">
        <v>65</v>
      </c>
      <c r="H406" t="s">
        <v>66</v>
      </c>
      <c r="I406" t="s">
        <v>111</v>
      </c>
      <c r="J406" s="3">
        <v>43363</v>
      </c>
      <c r="K406">
        <v>7.3</v>
      </c>
      <c r="L406">
        <v>28</v>
      </c>
      <c r="M406" s="4">
        <v>8800</v>
      </c>
      <c r="N406" s="4">
        <v>140873</v>
      </c>
      <c r="O406" t="s">
        <v>68</v>
      </c>
      <c r="P406" t="s">
        <v>69</v>
      </c>
      <c r="Q406">
        <v>3.87</v>
      </c>
      <c r="R406">
        <v>55</v>
      </c>
      <c r="S406">
        <v>37</v>
      </c>
      <c r="T406" t="s">
        <v>69</v>
      </c>
      <c r="U406">
        <v>0</v>
      </c>
      <c r="V406">
        <v>38</v>
      </c>
      <c r="W406" t="s">
        <v>70</v>
      </c>
      <c r="X406" t="s">
        <v>69</v>
      </c>
      <c r="Y406" t="s">
        <v>86</v>
      </c>
      <c r="Z406" t="s">
        <v>96</v>
      </c>
    </row>
    <row r="407" spans="1:26" x14ac:dyDescent="0.2">
      <c r="A407" t="s">
        <v>997</v>
      </c>
      <c r="B407" t="s">
        <v>998</v>
      </c>
      <c r="C407" t="s">
        <v>102</v>
      </c>
      <c r="D407" t="s">
        <v>166</v>
      </c>
      <c r="E407" t="s">
        <v>801</v>
      </c>
      <c r="F407" t="s">
        <v>84</v>
      </c>
      <c r="G407" t="s">
        <v>65</v>
      </c>
      <c r="H407" t="s">
        <v>78</v>
      </c>
      <c r="I407" t="s">
        <v>115</v>
      </c>
      <c r="J407" s="3">
        <v>43396</v>
      </c>
      <c r="K407">
        <v>7.2</v>
      </c>
      <c r="L407">
        <v>41</v>
      </c>
      <c r="M407" s="4">
        <v>18700</v>
      </c>
      <c r="N407" s="4">
        <v>295763</v>
      </c>
      <c r="O407" t="s">
        <v>69</v>
      </c>
      <c r="P407" t="s">
        <v>69</v>
      </c>
      <c r="Q407">
        <v>2.99</v>
      </c>
      <c r="R407">
        <v>52</v>
      </c>
      <c r="S407">
        <v>38</v>
      </c>
      <c r="T407" t="s">
        <v>69</v>
      </c>
      <c r="U407">
        <v>5</v>
      </c>
      <c r="V407">
        <v>16</v>
      </c>
      <c r="W407" t="s">
        <v>68</v>
      </c>
      <c r="X407" t="s">
        <v>68</v>
      </c>
      <c r="Y407" t="s">
        <v>86</v>
      </c>
      <c r="Z407" t="s">
        <v>102</v>
      </c>
    </row>
    <row r="408" spans="1:26" x14ac:dyDescent="0.2">
      <c r="A408" t="s">
        <v>999</v>
      </c>
      <c r="B408" t="s">
        <v>1000</v>
      </c>
      <c r="C408" t="s">
        <v>74</v>
      </c>
      <c r="D408" t="s">
        <v>118</v>
      </c>
      <c r="E408" t="s">
        <v>438</v>
      </c>
      <c r="F408" t="s">
        <v>64</v>
      </c>
      <c r="G408" t="s">
        <v>227</v>
      </c>
      <c r="H408" t="s">
        <v>66</v>
      </c>
      <c r="I408" t="s">
        <v>148</v>
      </c>
      <c r="J408" s="3">
        <v>44587</v>
      </c>
      <c r="K408">
        <v>3.9</v>
      </c>
      <c r="L408">
        <v>40</v>
      </c>
      <c r="M408" s="4">
        <v>6500</v>
      </c>
      <c r="N408" s="4">
        <v>104886</v>
      </c>
      <c r="O408" t="s">
        <v>68</v>
      </c>
      <c r="P408" t="s">
        <v>68</v>
      </c>
      <c r="Q408">
        <v>3.33</v>
      </c>
      <c r="R408">
        <v>66</v>
      </c>
      <c r="S408">
        <v>34</v>
      </c>
      <c r="T408" t="s">
        <v>69</v>
      </c>
      <c r="U408">
        <v>4</v>
      </c>
      <c r="V408">
        <v>52</v>
      </c>
      <c r="W408" t="s">
        <v>70</v>
      </c>
      <c r="X408" t="s">
        <v>68</v>
      </c>
      <c r="Y408" t="s">
        <v>86</v>
      </c>
      <c r="Z408" t="s">
        <v>74</v>
      </c>
    </row>
    <row r="409" spans="1:26" x14ac:dyDescent="0.2">
      <c r="A409" t="s">
        <v>1001</v>
      </c>
      <c r="B409" t="s">
        <v>672</v>
      </c>
      <c r="C409" t="s">
        <v>89</v>
      </c>
      <c r="D409" t="s">
        <v>154</v>
      </c>
      <c r="E409" t="s">
        <v>155</v>
      </c>
      <c r="F409" t="s">
        <v>120</v>
      </c>
      <c r="G409" t="s">
        <v>215</v>
      </c>
      <c r="H409" t="s">
        <v>66</v>
      </c>
      <c r="I409" t="s">
        <v>148</v>
      </c>
      <c r="J409" s="3">
        <v>42470</v>
      </c>
      <c r="K409">
        <v>9.6999999999999993</v>
      </c>
      <c r="L409">
        <v>27</v>
      </c>
      <c r="M409" s="4">
        <v>9600</v>
      </c>
      <c r="N409" s="4">
        <v>155121</v>
      </c>
      <c r="O409" t="s">
        <v>68</v>
      </c>
      <c r="P409" t="s">
        <v>69</v>
      </c>
      <c r="Q409">
        <v>3.79</v>
      </c>
      <c r="R409">
        <v>75</v>
      </c>
      <c r="S409">
        <v>7</v>
      </c>
      <c r="T409" t="s">
        <v>69</v>
      </c>
      <c r="U409">
        <v>0</v>
      </c>
      <c r="V409">
        <v>33</v>
      </c>
      <c r="W409" t="s">
        <v>70</v>
      </c>
      <c r="X409" t="s">
        <v>69</v>
      </c>
      <c r="Y409" t="s">
        <v>71</v>
      </c>
      <c r="Z409" t="s">
        <v>89</v>
      </c>
    </row>
    <row r="410" spans="1:26" x14ac:dyDescent="0.2">
      <c r="A410" t="s">
        <v>1002</v>
      </c>
      <c r="B410" t="s">
        <v>619</v>
      </c>
      <c r="C410" t="s">
        <v>102</v>
      </c>
      <c r="D410" t="s">
        <v>339</v>
      </c>
      <c r="E410" t="s">
        <v>469</v>
      </c>
      <c r="F410" t="s">
        <v>120</v>
      </c>
      <c r="G410" t="s">
        <v>65</v>
      </c>
      <c r="H410" t="s">
        <v>78</v>
      </c>
      <c r="I410" t="s">
        <v>148</v>
      </c>
      <c r="J410" s="3">
        <v>42606</v>
      </c>
      <c r="K410">
        <v>9.4</v>
      </c>
      <c r="L410">
        <v>55</v>
      </c>
      <c r="M410" s="4">
        <v>7600</v>
      </c>
      <c r="N410" s="4">
        <v>111422</v>
      </c>
      <c r="O410" t="s">
        <v>68</v>
      </c>
      <c r="P410" t="s">
        <v>69</v>
      </c>
      <c r="Q410">
        <v>2.72</v>
      </c>
      <c r="R410">
        <v>48</v>
      </c>
      <c r="S410">
        <v>13</v>
      </c>
      <c r="T410" t="s">
        <v>69</v>
      </c>
      <c r="U410">
        <v>11</v>
      </c>
      <c r="V410">
        <v>44</v>
      </c>
      <c r="W410" t="s">
        <v>70</v>
      </c>
      <c r="X410" t="s">
        <v>68</v>
      </c>
      <c r="Y410" t="s">
        <v>86</v>
      </c>
      <c r="Z410" t="s">
        <v>102</v>
      </c>
    </row>
    <row r="411" spans="1:26" x14ac:dyDescent="0.2">
      <c r="A411" t="s">
        <v>1003</v>
      </c>
      <c r="B411" t="s">
        <v>335</v>
      </c>
      <c r="C411" t="s">
        <v>89</v>
      </c>
      <c r="D411" t="s">
        <v>239</v>
      </c>
      <c r="E411" t="s">
        <v>580</v>
      </c>
      <c r="F411" t="s">
        <v>77</v>
      </c>
      <c r="G411" t="s">
        <v>65</v>
      </c>
      <c r="H411" t="s">
        <v>78</v>
      </c>
      <c r="I411" t="s">
        <v>111</v>
      </c>
      <c r="J411" s="3">
        <v>42367</v>
      </c>
      <c r="K411">
        <v>10</v>
      </c>
      <c r="L411">
        <v>38</v>
      </c>
      <c r="M411" s="4">
        <v>9900</v>
      </c>
      <c r="N411" s="4">
        <v>154929</v>
      </c>
      <c r="O411" t="s">
        <v>68</v>
      </c>
      <c r="P411" t="s">
        <v>69</v>
      </c>
      <c r="Q411">
        <v>3.06</v>
      </c>
      <c r="R411">
        <v>66</v>
      </c>
      <c r="S411">
        <v>15</v>
      </c>
      <c r="T411" t="s">
        <v>69</v>
      </c>
      <c r="U411">
        <v>5</v>
      </c>
      <c r="V411">
        <v>1</v>
      </c>
      <c r="W411" t="s">
        <v>70</v>
      </c>
      <c r="X411" t="s">
        <v>68</v>
      </c>
      <c r="Y411" t="s">
        <v>71</v>
      </c>
      <c r="Z411" t="s">
        <v>89</v>
      </c>
    </row>
    <row r="412" spans="1:26" x14ac:dyDescent="0.2">
      <c r="A412" t="s">
        <v>1004</v>
      </c>
      <c r="B412" t="s">
        <v>1005</v>
      </c>
      <c r="C412" t="s">
        <v>12</v>
      </c>
      <c r="D412" t="s">
        <v>82</v>
      </c>
      <c r="E412" t="s">
        <v>982</v>
      </c>
      <c r="F412" t="s">
        <v>120</v>
      </c>
      <c r="G412" t="s">
        <v>65</v>
      </c>
      <c r="H412" t="s">
        <v>66</v>
      </c>
      <c r="I412" t="s">
        <v>99</v>
      </c>
      <c r="J412" s="3">
        <v>43306</v>
      </c>
      <c r="K412">
        <v>7.4</v>
      </c>
      <c r="L412">
        <v>33</v>
      </c>
      <c r="M412" s="4">
        <v>8500</v>
      </c>
      <c r="N412" s="4">
        <v>128631</v>
      </c>
      <c r="O412" t="s">
        <v>68</v>
      </c>
      <c r="P412" t="s">
        <v>68</v>
      </c>
      <c r="Q412">
        <v>3.05</v>
      </c>
      <c r="R412">
        <v>63</v>
      </c>
      <c r="S412">
        <v>19</v>
      </c>
      <c r="T412" t="s">
        <v>68</v>
      </c>
      <c r="U412">
        <v>4</v>
      </c>
      <c r="V412">
        <v>7</v>
      </c>
      <c r="W412" t="s">
        <v>70</v>
      </c>
      <c r="X412" t="s">
        <v>68</v>
      </c>
      <c r="Y412" t="s">
        <v>71</v>
      </c>
      <c r="Z412" t="s">
        <v>12</v>
      </c>
    </row>
    <row r="413" spans="1:26" x14ac:dyDescent="0.2">
      <c r="A413" t="s">
        <v>1006</v>
      </c>
      <c r="B413" t="s">
        <v>203</v>
      </c>
      <c r="C413" t="s">
        <v>89</v>
      </c>
      <c r="D413" t="s">
        <v>230</v>
      </c>
      <c r="E413" t="s">
        <v>549</v>
      </c>
      <c r="F413" t="s">
        <v>120</v>
      </c>
      <c r="G413" t="s">
        <v>65</v>
      </c>
      <c r="H413" t="s">
        <v>66</v>
      </c>
      <c r="I413" t="s">
        <v>554</v>
      </c>
      <c r="J413" s="3">
        <v>45295</v>
      </c>
      <c r="K413">
        <v>2</v>
      </c>
      <c r="L413">
        <v>47</v>
      </c>
      <c r="M413" s="4">
        <v>9000</v>
      </c>
      <c r="N413" s="4">
        <v>136586</v>
      </c>
      <c r="O413" t="s">
        <v>68</v>
      </c>
      <c r="P413" t="s">
        <v>69</v>
      </c>
      <c r="Q413">
        <v>3.49</v>
      </c>
      <c r="R413">
        <v>62</v>
      </c>
      <c r="S413">
        <v>46</v>
      </c>
      <c r="T413" t="s">
        <v>69</v>
      </c>
      <c r="U413">
        <v>1</v>
      </c>
      <c r="V413">
        <v>55</v>
      </c>
      <c r="W413" t="s">
        <v>70</v>
      </c>
      <c r="X413" t="s">
        <v>68</v>
      </c>
      <c r="Y413" t="s">
        <v>86</v>
      </c>
      <c r="Z413" t="s">
        <v>89</v>
      </c>
    </row>
    <row r="414" spans="1:26" x14ac:dyDescent="0.2">
      <c r="A414" t="s">
        <v>1007</v>
      </c>
      <c r="B414" t="s">
        <v>283</v>
      </c>
      <c r="C414" t="s">
        <v>74</v>
      </c>
      <c r="D414" t="s">
        <v>139</v>
      </c>
      <c r="E414" t="s">
        <v>761</v>
      </c>
      <c r="F414" t="s">
        <v>136</v>
      </c>
      <c r="G414" t="s">
        <v>65</v>
      </c>
      <c r="H414" t="s">
        <v>66</v>
      </c>
      <c r="I414" t="s">
        <v>93</v>
      </c>
      <c r="J414" s="3">
        <v>41716</v>
      </c>
      <c r="K414">
        <v>11.8</v>
      </c>
      <c r="L414">
        <v>28</v>
      </c>
      <c r="M414" s="4">
        <v>12800</v>
      </c>
      <c r="N414" s="4">
        <v>195051</v>
      </c>
      <c r="O414" t="s">
        <v>68</v>
      </c>
      <c r="P414" t="s">
        <v>69</v>
      </c>
      <c r="Q414">
        <v>2.78</v>
      </c>
      <c r="R414">
        <v>59</v>
      </c>
      <c r="S414">
        <v>33</v>
      </c>
      <c r="T414" t="s">
        <v>69</v>
      </c>
      <c r="U414">
        <v>0</v>
      </c>
      <c r="V414">
        <v>26</v>
      </c>
      <c r="W414" t="s">
        <v>70</v>
      </c>
      <c r="X414" t="s">
        <v>68</v>
      </c>
      <c r="Y414" t="s">
        <v>71</v>
      </c>
      <c r="Z414" t="s">
        <v>74</v>
      </c>
    </row>
    <row r="415" spans="1:26" x14ac:dyDescent="0.2">
      <c r="A415" t="s">
        <v>1008</v>
      </c>
      <c r="B415" t="s">
        <v>652</v>
      </c>
      <c r="C415" t="s">
        <v>102</v>
      </c>
      <c r="D415" t="s">
        <v>339</v>
      </c>
      <c r="E415" t="s">
        <v>1009</v>
      </c>
      <c r="F415" t="s">
        <v>174</v>
      </c>
      <c r="G415" t="s">
        <v>65</v>
      </c>
      <c r="H415" t="s">
        <v>66</v>
      </c>
      <c r="I415" t="s">
        <v>148</v>
      </c>
      <c r="J415" s="3">
        <v>44661</v>
      </c>
      <c r="K415">
        <v>3.7</v>
      </c>
      <c r="L415">
        <v>44</v>
      </c>
      <c r="M415" s="4">
        <v>33900</v>
      </c>
      <c r="N415" s="4">
        <v>548955</v>
      </c>
      <c r="O415" t="s">
        <v>69</v>
      </c>
      <c r="P415" t="s">
        <v>69</v>
      </c>
      <c r="Q415">
        <v>2.66</v>
      </c>
      <c r="R415">
        <v>70</v>
      </c>
      <c r="S415">
        <v>19</v>
      </c>
      <c r="T415" t="s">
        <v>69</v>
      </c>
      <c r="U415">
        <v>4</v>
      </c>
      <c r="V415">
        <v>19</v>
      </c>
      <c r="W415" t="s">
        <v>68</v>
      </c>
      <c r="X415" t="s">
        <v>68</v>
      </c>
      <c r="Y415" t="s">
        <v>71</v>
      </c>
      <c r="Z415" t="s">
        <v>102</v>
      </c>
    </row>
    <row r="416" spans="1:26" x14ac:dyDescent="0.2">
      <c r="A416" t="s">
        <v>1010</v>
      </c>
      <c r="B416" t="s">
        <v>424</v>
      </c>
      <c r="C416" t="s">
        <v>102</v>
      </c>
      <c r="D416" t="s">
        <v>166</v>
      </c>
      <c r="E416" t="s">
        <v>495</v>
      </c>
      <c r="F416" t="s">
        <v>174</v>
      </c>
      <c r="G416" t="s">
        <v>227</v>
      </c>
      <c r="H416" t="s">
        <v>66</v>
      </c>
      <c r="I416" t="s">
        <v>67</v>
      </c>
      <c r="J416" s="3">
        <v>42720</v>
      </c>
      <c r="K416">
        <v>9</v>
      </c>
      <c r="L416">
        <v>43</v>
      </c>
      <c r="M416" s="4">
        <v>21600</v>
      </c>
      <c r="N416" s="4">
        <v>356050</v>
      </c>
      <c r="O416" t="s">
        <v>69</v>
      </c>
      <c r="P416" t="s">
        <v>69</v>
      </c>
      <c r="Q416">
        <v>3.12</v>
      </c>
      <c r="R416">
        <v>70</v>
      </c>
      <c r="S416">
        <v>47</v>
      </c>
      <c r="T416" t="s">
        <v>69</v>
      </c>
      <c r="U416">
        <v>3</v>
      </c>
      <c r="V416">
        <v>32</v>
      </c>
      <c r="W416" t="s">
        <v>68</v>
      </c>
      <c r="X416" t="s">
        <v>68</v>
      </c>
      <c r="Y416" t="s">
        <v>71</v>
      </c>
      <c r="Z416" t="s">
        <v>102</v>
      </c>
    </row>
    <row r="417" spans="1:26" x14ac:dyDescent="0.2">
      <c r="A417" t="s">
        <v>1011</v>
      </c>
      <c r="B417" t="s">
        <v>800</v>
      </c>
      <c r="C417" t="s">
        <v>102</v>
      </c>
      <c r="D417" t="s">
        <v>183</v>
      </c>
      <c r="E417" t="s">
        <v>965</v>
      </c>
      <c r="F417" t="s">
        <v>136</v>
      </c>
      <c r="G417" t="s">
        <v>65</v>
      </c>
      <c r="H417" t="s">
        <v>66</v>
      </c>
      <c r="I417" t="s">
        <v>79</v>
      </c>
      <c r="J417" s="3">
        <v>45452</v>
      </c>
      <c r="K417">
        <v>1.6</v>
      </c>
      <c r="L417">
        <v>24</v>
      </c>
      <c r="M417" s="4">
        <v>13100</v>
      </c>
      <c r="N417" s="4">
        <v>206721</v>
      </c>
      <c r="O417" t="s">
        <v>68</v>
      </c>
      <c r="P417" t="s">
        <v>69</v>
      </c>
      <c r="Q417">
        <v>2.82</v>
      </c>
      <c r="R417">
        <v>70</v>
      </c>
      <c r="S417">
        <v>33</v>
      </c>
      <c r="T417" t="s">
        <v>69</v>
      </c>
      <c r="U417">
        <v>12</v>
      </c>
      <c r="V417">
        <v>57</v>
      </c>
      <c r="W417" t="s">
        <v>70</v>
      </c>
      <c r="X417" t="s">
        <v>68</v>
      </c>
      <c r="Y417" t="s">
        <v>71</v>
      </c>
      <c r="Z417" t="s">
        <v>102</v>
      </c>
    </row>
    <row r="418" spans="1:26" x14ac:dyDescent="0.2">
      <c r="A418" t="s">
        <v>1012</v>
      </c>
      <c r="B418" t="s">
        <v>1013</v>
      </c>
      <c r="C418" t="s">
        <v>96</v>
      </c>
      <c r="D418" t="s">
        <v>97</v>
      </c>
      <c r="E418" t="s">
        <v>284</v>
      </c>
      <c r="F418" t="s">
        <v>136</v>
      </c>
      <c r="G418" t="s">
        <v>65</v>
      </c>
      <c r="H418" t="s">
        <v>78</v>
      </c>
      <c r="I418" t="s">
        <v>99</v>
      </c>
      <c r="J418" s="3">
        <v>42747</v>
      </c>
      <c r="K418">
        <v>9</v>
      </c>
      <c r="L418">
        <v>32</v>
      </c>
      <c r="M418" s="4">
        <v>13600</v>
      </c>
      <c r="N418" s="4">
        <v>219475</v>
      </c>
      <c r="O418" t="s">
        <v>68</v>
      </c>
      <c r="P418" t="s">
        <v>69</v>
      </c>
      <c r="Q418">
        <v>4</v>
      </c>
      <c r="R418">
        <v>78</v>
      </c>
      <c r="S418">
        <v>26</v>
      </c>
      <c r="T418" t="s">
        <v>69</v>
      </c>
      <c r="U418">
        <v>15</v>
      </c>
      <c r="V418">
        <v>29</v>
      </c>
      <c r="W418" t="s">
        <v>70</v>
      </c>
      <c r="X418" t="s">
        <v>69</v>
      </c>
      <c r="Y418" t="s">
        <v>71</v>
      </c>
      <c r="Z418" t="s">
        <v>96</v>
      </c>
    </row>
    <row r="419" spans="1:26" x14ac:dyDescent="0.2">
      <c r="A419" t="s">
        <v>1014</v>
      </c>
      <c r="B419" t="s">
        <v>329</v>
      </c>
      <c r="C419" t="s">
        <v>124</v>
      </c>
      <c r="D419" t="s">
        <v>125</v>
      </c>
      <c r="E419" t="s">
        <v>712</v>
      </c>
      <c r="F419" t="s">
        <v>136</v>
      </c>
      <c r="G419" t="s">
        <v>227</v>
      </c>
      <c r="H419" t="s">
        <v>78</v>
      </c>
      <c r="I419" t="s">
        <v>93</v>
      </c>
      <c r="J419" s="3">
        <v>43796</v>
      </c>
      <c r="K419">
        <v>6.1</v>
      </c>
      <c r="L419">
        <v>33</v>
      </c>
      <c r="M419" s="4">
        <v>12300</v>
      </c>
      <c r="N419" s="4">
        <v>201334</v>
      </c>
      <c r="O419" t="s">
        <v>68</v>
      </c>
      <c r="P419" t="s">
        <v>68</v>
      </c>
      <c r="Q419">
        <v>2.66</v>
      </c>
      <c r="R419">
        <v>80</v>
      </c>
      <c r="S419">
        <v>27</v>
      </c>
      <c r="T419" t="s">
        <v>69</v>
      </c>
      <c r="U419">
        <v>2</v>
      </c>
      <c r="V419">
        <v>0</v>
      </c>
      <c r="W419" t="s">
        <v>70</v>
      </c>
      <c r="X419" t="s">
        <v>68</v>
      </c>
      <c r="Y419" t="s">
        <v>71</v>
      </c>
      <c r="Z419" t="s">
        <v>124</v>
      </c>
    </row>
    <row r="420" spans="1:26" x14ac:dyDescent="0.2">
      <c r="A420" t="s">
        <v>1015</v>
      </c>
      <c r="B420" t="s">
        <v>1016</v>
      </c>
      <c r="C420" t="s">
        <v>96</v>
      </c>
      <c r="D420" t="s">
        <v>162</v>
      </c>
      <c r="E420" t="s">
        <v>498</v>
      </c>
      <c r="F420" t="s">
        <v>92</v>
      </c>
      <c r="G420" t="s">
        <v>65</v>
      </c>
      <c r="H420" t="s">
        <v>66</v>
      </c>
      <c r="I420" t="s">
        <v>99</v>
      </c>
      <c r="J420" s="3">
        <v>42914</v>
      </c>
      <c r="K420">
        <v>8.5</v>
      </c>
      <c r="L420">
        <v>46</v>
      </c>
      <c r="M420" s="4">
        <v>4500</v>
      </c>
      <c r="N420" s="4">
        <v>72218</v>
      </c>
      <c r="O420" t="s">
        <v>68</v>
      </c>
      <c r="P420" t="s">
        <v>69</v>
      </c>
      <c r="Q420">
        <v>2.89</v>
      </c>
      <c r="R420">
        <v>66</v>
      </c>
      <c r="S420">
        <v>34</v>
      </c>
      <c r="T420" t="s">
        <v>69</v>
      </c>
      <c r="U420">
        <v>5</v>
      </c>
      <c r="V420">
        <v>0</v>
      </c>
      <c r="W420" t="s">
        <v>70</v>
      </c>
      <c r="X420" t="s">
        <v>68</v>
      </c>
      <c r="Y420" t="s">
        <v>71</v>
      </c>
      <c r="Z420" t="s">
        <v>96</v>
      </c>
    </row>
    <row r="421" spans="1:26" x14ac:dyDescent="0.2">
      <c r="A421" t="s">
        <v>1017</v>
      </c>
      <c r="B421" t="s">
        <v>766</v>
      </c>
      <c r="C421" t="s">
        <v>143</v>
      </c>
      <c r="D421" t="s">
        <v>207</v>
      </c>
      <c r="E421" t="s">
        <v>796</v>
      </c>
      <c r="F421" t="s">
        <v>84</v>
      </c>
      <c r="G421" t="s">
        <v>85</v>
      </c>
      <c r="H421" t="s">
        <v>78</v>
      </c>
      <c r="I421" t="s">
        <v>99</v>
      </c>
      <c r="J421" s="3">
        <v>41444</v>
      </c>
      <c r="K421">
        <v>12.5</v>
      </c>
      <c r="L421">
        <v>40</v>
      </c>
      <c r="M421" s="4">
        <v>22600</v>
      </c>
      <c r="N421" s="4">
        <v>364499</v>
      </c>
      <c r="O421" t="s">
        <v>69</v>
      </c>
      <c r="P421" t="s">
        <v>69</v>
      </c>
      <c r="Q421">
        <v>3.73</v>
      </c>
      <c r="R421">
        <v>70</v>
      </c>
      <c r="S421">
        <v>23</v>
      </c>
      <c r="T421" t="s">
        <v>69</v>
      </c>
      <c r="U421">
        <v>4</v>
      </c>
      <c r="V421">
        <v>22</v>
      </c>
      <c r="W421" t="s">
        <v>69</v>
      </c>
      <c r="X421" t="s">
        <v>69</v>
      </c>
      <c r="Y421" t="s">
        <v>71</v>
      </c>
      <c r="Z421" t="s">
        <v>143</v>
      </c>
    </row>
    <row r="422" spans="1:26" x14ac:dyDescent="0.2">
      <c r="A422" t="s">
        <v>1018</v>
      </c>
      <c r="B422" t="s">
        <v>270</v>
      </c>
      <c r="C422" t="s">
        <v>108</v>
      </c>
      <c r="D422" t="s">
        <v>194</v>
      </c>
      <c r="E422" t="s">
        <v>293</v>
      </c>
      <c r="F422" t="s">
        <v>92</v>
      </c>
      <c r="G422" t="s">
        <v>85</v>
      </c>
      <c r="H422" t="s">
        <v>78</v>
      </c>
      <c r="I422" t="s">
        <v>79</v>
      </c>
      <c r="J422" s="3">
        <v>45631</v>
      </c>
      <c r="K422">
        <v>1.1000000000000001</v>
      </c>
      <c r="L422">
        <v>52</v>
      </c>
      <c r="M422" s="4">
        <v>3600</v>
      </c>
      <c r="N422" s="4">
        <v>58919</v>
      </c>
      <c r="O422" t="s">
        <v>68</v>
      </c>
      <c r="P422" t="s">
        <v>69</v>
      </c>
      <c r="Q422">
        <v>3.56</v>
      </c>
      <c r="R422">
        <v>81</v>
      </c>
      <c r="S422">
        <v>26</v>
      </c>
      <c r="T422" t="s">
        <v>69</v>
      </c>
      <c r="U422">
        <v>12</v>
      </c>
      <c r="V422">
        <v>15</v>
      </c>
      <c r="W422" t="s">
        <v>70</v>
      </c>
      <c r="X422" t="s">
        <v>69</v>
      </c>
      <c r="Y422" t="s">
        <v>71</v>
      </c>
      <c r="Z422" t="s">
        <v>108</v>
      </c>
    </row>
    <row r="423" spans="1:26" x14ac:dyDescent="0.2">
      <c r="A423" t="s">
        <v>1019</v>
      </c>
      <c r="B423" t="s">
        <v>538</v>
      </c>
      <c r="C423" t="s">
        <v>102</v>
      </c>
      <c r="D423" t="s">
        <v>183</v>
      </c>
      <c r="E423" t="s">
        <v>1020</v>
      </c>
      <c r="F423" t="s">
        <v>64</v>
      </c>
      <c r="G423" t="s">
        <v>215</v>
      </c>
      <c r="H423" t="s">
        <v>78</v>
      </c>
      <c r="I423" t="s">
        <v>236</v>
      </c>
      <c r="J423" s="3">
        <v>45069</v>
      </c>
      <c r="K423">
        <v>2.6</v>
      </c>
      <c r="L423">
        <v>26</v>
      </c>
      <c r="M423" s="4">
        <v>6100</v>
      </c>
      <c r="N423" s="4">
        <v>89344</v>
      </c>
      <c r="O423" t="s">
        <v>68</v>
      </c>
      <c r="P423" t="s">
        <v>69</v>
      </c>
      <c r="Q423">
        <v>2.4700000000000002</v>
      </c>
      <c r="R423">
        <v>50</v>
      </c>
      <c r="S423">
        <v>27</v>
      </c>
      <c r="T423" t="s">
        <v>69</v>
      </c>
      <c r="U423">
        <v>8</v>
      </c>
      <c r="V423">
        <v>59</v>
      </c>
      <c r="W423" t="s">
        <v>70</v>
      </c>
      <c r="X423" t="s">
        <v>68</v>
      </c>
      <c r="Y423" t="s">
        <v>366</v>
      </c>
      <c r="Z423" t="s">
        <v>102</v>
      </c>
    </row>
    <row r="424" spans="1:26" x14ac:dyDescent="0.2">
      <c r="A424" t="s">
        <v>1021</v>
      </c>
      <c r="B424" t="s">
        <v>309</v>
      </c>
      <c r="C424" t="s">
        <v>108</v>
      </c>
      <c r="D424" t="s">
        <v>194</v>
      </c>
      <c r="E424" t="s">
        <v>825</v>
      </c>
      <c r="F424" t="s">
        <v>136</v>
      </c>
      <c r="G424" t="s">
        <v>65</v>
      </c>
      <c r="H424" t="s">
        <v>66</v>
      </c>
      <c r="I424" t="s">
        <v>67</v>
      </c>
      <c r="J424" s="3">
        <v>44257</v>
      </c>
      <c r="K424">
        <v>4.8</v>
      </c>
      <c r="L424">
        <v>48</v>
      </c>
      <c r="M424" s="4">
        <v>15600</v>
      </c>
      <c r="N424" s="4">
        <v>249980</v>
      </c>
      <c r="O424" t="s">
        <v>68</v>
      </c>
      <c r="P424" t="s">
        <v>69</v>
      </c>
      <c r="Q424">
        <v>3.92</v>
      </c>
      <c r="R424">
        <v>90</v>
      </c>
      <c r="S424">
        <v>42</v>
      </c>
      <c r="T424" t="s">
        <v>69</v>
      </c>
      <c r="U424">
        <v>3</v>
      </c>
      <c r="V424">
        <v>3</v>
      </c>
      <c r="W424" t="s">
        <v>70</v>
      </c>
      <c r="X424" t="s">
        <v>69</v>
      </c>
      <c r="Y424" t="s">
        <v>71</v>
      </c>
      <c r="Z424" t="s">
        <v>108</v>
      </c>
    </row>
    <row r="425" spans="1:26" x14ac:dyDescent="0.2">
      <c r="A425" t="s">
        <v>1022</v>
      </c>
      <c r="B425" t="s">
        <v>252</v>
      </c>
      <c r="C425" t="s">
        <v>102</v>
      </c>
      <c r="D425" t="s">
        <v>103</v>
      </c>
      <c r="E425" t="s">
        <v>369</v>
      </c>
      <c r="F425" t="s">
        <v>120</v>
      </c>
      <c r="G425" t="s">
        <v>65</v>
      </c>
      <c r="H425" t="s">
        <v>66</v>
      </c>
      <c r="I425" t="s">
        <v>99</v>
      </c>
      <c r="J425" s="3">
        <v>44407</v>
      </c>
      <c r="K425">
        <v>4.4000000000000004</v>
      </c>
      <c r="L425">
        <v>42</v>
      </c>
      <c r="M425" s="4">
        <v>9200</v>
      </c>
      <c r="N425" s="4">
        <v>138870</v>
      </c>
      <c r="O425" t="s">
        <v>68</v>
      </c>
      <c r="P425" t="s">
        <v>69</v>
      </c>
      <c r="Q425">
        <v>3.27</v>
      </c>
      <c r="R425">
        <v>76</v>
      </c>
      <c r="S425">
        <v>12</v>
      </c>
      <c r="T425" t="s">
        <v>69</v>
      </c>
      <c r="U425">
        <v>7</v>
      </c>
      <c r="V425">
        <v>18</v>
      </c>
      <c r="W425" t="s">
        <v>70</v>
      </c>
      <c r="X425" t="s">
        <v>68</v>
      </c>
      <c r="Y425" t="s">
        <v>71</v>
      </c>
      <c r="Z425" t="s">
        <v>102</v>
      </c>
    </row>
    <row r="426" spans="1:26" x14ac:dyDescent="0.2">
      <c r="A426" t="s">
        <v>1023</v>
      </c>
      <c r="B426" t="s">
        <v>304</v>
      </c>
      <c r="C426" t="s">
        <v>74</v>
      </c>
      <c r="D426" t="s">
        <v>139</v>
      </c>
      <c r="E426" t="s">
        <v>761</v>
      </c>
      <c r="F426" t="s">
        <v>136</v>
      </c>
      <c r="G426" t="s">
        <v>65</v>
      </c>
      <c r="H426" t="s">
        <v>78</v>
      </c>
      <c r="I426" t="s">
        <v>93</v>
      </c>
      <c r="J426" s="3">
        <v>44292</v>
      </c>
      <c r="K426">
        <v>4.7</v>
      </c>
      <c r="L426">
        <v>41</v>
      </c>
      <c r="M426" s="4">
        <v>10300</v>
      </c>
      <c r="N426" s="4">
        <v>151948</v>
      </c>
      <c r="O426" t="s">
        <v>68</v>
      </c>
      <c r="P426" t="s">
        <v>68</v>
      </c>
      <c r="Q426">
        <v>3.22</v>
      </c>
      <c r="R426">
        <v>78</v>
      </c>
      <c r="S426">
        <v>30</v>
      </c>
      <c r="T426" t="s">
        <v>69</v>
      </c>
      <c r="U426">
        <v>3</v>
      </c>
      <c r="V426">
        <v>20</v>
      </c>
      <c r="W426" t="s">
        <v>70</v>
      </c>
      <c r="X426" t="s">
        <v>68</v>
      </c>
      <c r="Y426" t="s">
        <v>71</v>
      </c>
      <c r="Z426" t="s">
        <v>74</v>
      </c>
    </row>
    <row r="427" spans="1:26" x14ac:dyDescent="0.2">
      <c r="A427" t="s">
        <v>1024</v>
      </c>
      <c r="B427" t="s">
        <v>1025</v>
      </c>
      <c r="C427" t="s">
        <v>89</v>
      </c>
      <c r="D427" t="s">
        <v>154</v>
      </c>
      <c r="E427" t="s">
        <v>650</v>
      </c>
      <c r="F427" t="s">
        <v>77</v>
      </c>
      <c r="G427" t="s">
        <v>65</v>
      </c>
      <c r="H427" t="s">
        <v>78</v>
      </c>
      <c r="I427" t="s">
        <v>93</v>
      </c>
      <c r="J427" s="3">
        <v>42380</v>
      </c>
      <c r="K427">
        <v>10</v>
      </c>
      <c r="L427">
        <v>51</v>
      </c>
      <c r="M427" s="4">
        <v>8000</v>
      </c>
      <c r="N427" s="4">
        <v>131940</v>
      </c>
      <c r="O427" t="s">
        <v>68</v>
      </c>
      <c r="P427" t="s">
        <v>69</v>
      </c>
      <c r="Q427">
        <v>3.31</v>
      </c>
      <c r="R427">
        <v>68</v>
      </c>
      <c r="S427">
        <v>54</v>
      </c>
      <c r="T427" t="s">
        <v>69</v>
      </c>
      <c r="U427">
        <v>7</v>
      </c>
      <c r="V427">
        <v>0</v>
      </c>
      <c r="W427" t="s">
        <v>70</v>
      </c>
      <c r="X427" t="s">
        <v>68</v>
      </c>
      <c r="Y427" t="s">
        <v>71</v>
      </c>
      <c r="Z427" t="s">
        <v>89</v>
      </c>
    </row>
    <row r="428" spans="1:26" x14ac:dyDescent="0.2">
      <c r="A428" t="s">
        <v>1026</v>
      </c>
      <c r="B428" t="s">
        <v>722</v>
      </c>
      <c r="C428" t="s">
        <v>124</v>
      </c>
      <c r="D428" t="s">
        <v>125</v>
      </c>
      <c r="E428" t="s">
        <v>1027</v>
      </c>
      <c r="F428" t="s">
        <v>174</v>
      </c>
      <c r="G428" t="s">
        <v>65</v>
      </c>
      <c r="H428" t="s">
        <v>66</v>
      </c>
      <c r="I428" t="s">
        <v>99</v>
      </c>
      <c r="J428" s="3">
        <v>42258</v>
      </c>
      <c r="K428">
        <v>10.3</v>
      </c>
      <c r="L428">
        <v>33</v>
      </c>
      <c r="M428" s="4">
        <v>30100</v>
      </c>
      <c r="N428" s="4">
        <v>446291</v>
      </c>
      <c r="O428" t="s">
        <v>69</v>
      </c>
      <c r="P428" t="s">
        <v>68</v>
      </c>
      <c r="Q428">
        <v>3.05</v>
      </c>
      <c r="R428">
        <v>57</v>
      </c>
      <c r="S428">
        <v>53</v>
      </c>
      <c r="T428" t="s">
        <v>69</v>
      </c>
      <c r="U428">
        <v>2</v>
      </c>
      <c r="V428">
        <v>42</v>
      </c>
      <c r="W428" t="s">
        <v>68</v>
      </c>
      <c r="X428" t="s">
        <v>68</v>
      </c>
      <c r="Y428" t="s">
        <v>86</v>
      </c>
      <c r="Z428" t="s">
        <v>124</v>
      </c>
    </row>
    <row r="429" spans="1:26" x14ac:dyDescent="0.2">
      <c r="A429" t="s">
        <v>1028</v>
      </c>
      <c r="B429" t="s">
        <v>60</v>
      </c>
      <c r="C429" t="s">
        <v>74</v>
      </c>
      <c r="D429" t="s">
        <v>139</v>
      </c>
      <c r="E429" t="s">
        <v>539</v>
      </c>
      <c r="F429" t="s">
        <v>84</v>
      </c>
      <c r="G429" t="s">
        <v>227</v>
      </c>
      <c r="H429" t="s">
        <v>66</v>
      </c>
      <c r="I429" t="s">
        <v>99</v>
      </c>
      <c r="J429" s="3">
        <v>41117</v>
      </c>
      <c r="K429">
        <v>13.4</v>
      </c>
      <c r="L429">
        <v>25</v>
      </c>
      <c r="M429" s="4">
        <v>20700</v>
      </c>
      <c r="N429" s="4">
        <v>335367</v>
      </c>
      <c r="O429" t="s">
        <v>69</v>
      </c>
      <c r="P429" t="s">
        <v>68</v>
      </c>
      <c r="Q429">
        <v>2.81</v>
      </c>
      <c r="R429">
        <v>59</v>
      </c>
      <c r="S429">
        <v>43</v>
      </c>
      <c r="T429" t="s">
        <v>68</v>
      </c>
      <c r="U429">
        <v>5</v>
      </c>
      <c r="V429">
        <v>47</v>
      </c>
      <c r="W429" t="s">
        <v>68</v>
      </c>
      <c r="X429" t="s">
        <v>68</v>
      </c>
      <c r="Y429" t="s">
        <v>86</v>
      </c>
      <c r="Z429" t="s">
        <v>74</v>
      </c>
    </row>
    <row r="430" spans="1:26" x14ac:dyDescent="0.2">
      <c r="A430" t="s">
        <v>1029</v>
      </c>
      <c r="B430" t="s">
        <v>1030</v>
      </c>
      <c r="C430" t="s">
        <v>89</v>
      </c>
      <c r="D430" t="s">
        <v>154</v>
      </c>
      <c r="E430" t="s">
        <v>325</v>
      </c>
      <c r="F430" t="s">
        <v>64</v>
      </c>
      <c r="G430" t="s">
        <v>65</v>
      </c>
      <c r="H430" t="s">
        <v>78</v>
      </c>
      <c r="I430" t="s">
        <v>236</v>
      </c>
      <c r="J430" s="3">
        <v>41245</v>
      </c>
      <c r="K430">
        <v>13.1</v>
      </c>
      <c r="L430">
        <v>49</v>
      </c>
      <c r="M430" s="4">
        <v>7000</v>
      </c>
      <c r="N430" s="4">
        <v>101377</v>
      </c>
      <c r="O430" t="s">
        <v>68</v>
      </c>
      <c r="P430" t="s">
        <v>69</v>
      </c>
      <c r="Q430">
        <v>3.33</v>
      </c>
      <c r="R430">
        <v>73</v>
      </c>
      <c r="S430">
        <v>29</v>
      </c>
      <c r="T430" t="s">
        <v>69</v>
      </c>
      <c r="U430">
        <v>5</v>
      </c>
      <c r="V430">
        <v>33</v>
      </c>
      <c r="W430" t="s">
        <v>70</v>
      </c>
      <c r="X430" t="s">
        <v>68</v>
      </c>
      <c r="Y430" t="s">
        <v>71</v>
      </c>
      <c r="Z430" t="s">
        <v>89</v>
      </c>
    </row>
    <row r="431" spans="1:26" x14ac:dyDescent="0.2">
      <c r="A431" t="s">
        <v>1031</v>
      </c>
      <c r="B431" t="s">
        <v>1032</v>
      </c>
      <c r="C431" t="s">
        <v>102</v>
      </c>
      <c r="D431" t="s">
        <v>183</v>
      </c>
      <c r="E431" t="s">
        <v>184</v>
      </c>
      <c r="F431" t="s">
        <v>120</v>
      </c>
      <c r="G431" t="s">
        <v>85</v>
      </c>
      <c r="H431" t="s">
        <v>78</v>
      </c>
      <c r="I431" t="s">
        <v>67</v>
      </c>
      <c r="J431" s="3">
        <v>43139</v>
      </c>
      <c r="K431">
        <v>7.9</v>
      </c>
      <c r="L431">
        <v>44</v>
      </c>
      <c r="M431" s="4">
        <v>8700</v>
      </c>
      <c r="N431" s="4">
        <v>128749</v>
      </c>
      <c r="O431" t="s">
        <v>68</v>
      </c>
      <c r="P431" t="s">
        <v>69</v>
      </c>
      <c r="Q431">
        <v>3.44</v>
      </c>
      <c r="R431">
        <v>51</v>
      </c>
      <c r="S431">
        <v>15</v>
      </c>
      <c r="T431" t="s">
        <v>69</v>
      </c>
      <c r="U431">
        <v>6</v>
      </c>
      <c r="V431">
        <v>16</v>
      </c>
      <c r="W431" t="s">
        <v>70</v>
      </c>
      <c r="X431" t="s">
        <v>68</v>
      </c>
      <c r="Y431" t="s">
        <v>86</v>
      </c>
      <c r="Z431" t="s">
        <v>102</v>
      </c>
    </row>
    <row r="432" spans="1:26" x14ac:dyDescent="0.2">
      <c r="A432" t="s">
        <v>1033</v>
      </c>
      <c r="B432" t="s">
        <v>672</v>
      </c>
      <c r="C432" t="s">
        <v>102</v>
      </c>
      <c r="D432" t="s">
        <v>166</v>
      </c>
      <c r="E432" t="s">
        <v>879</v>
      </c>
      <c r="F432" t="s">
        <v>120</v>
      </c>
      <c r="G432" t="s">
        <v>65</v>
      </c>
      <c r="H432" t="s">
        <v>78</v>
      </c>
      <c r="I432" t="s">
        <v>455</v>
      </c>
      <c r="J432" s="3">
        <v>43346</v>
      </c>
      <c r="K432">
        <v>7.3</v>
      </c>
      <c r="L432">
        <v>51</v>
      </c>
      <c r="M432" s="4">
        <v>8700</v>
      </c>
      <c r="N432" s="4">
        <v>127243</v>
      </c>
      <c r="O432" t="s">
        <v>68</v>
      </c>
      <c r="P432" t="s">
        <v>69</v>
      </c>
      <c r="Q432">
        <v>2.4900000000000002</v>
      </c>
      <c r="R432">
        <v>52</v>
      </c>
      <c r="S432">
        <v>34</v>
      </c>
      <c r="T432" t="s">
        <v>68</v>
      </c>
      <c r="U432">
        <v>5</v>
      </c>
      <c r="V432">
        <v>36</v>
      </c>
      <c r="W432" t="s">
        <v>70</v>
      </c>
      <c r="X432" t="s">
        <v>68</v>
      </c>
      <c r="Y432" t="s">
        <v>86</v>
      </c>
      <c r="Z432" t="s">
        <v>102</v>
      </c>
    </row>
    <row r="433" spans="1:26" x14ac:dyDescent="0.2">
      <c r="A433" t="s">
        <v>1034</v>
      </c>
      <c r="B433" t="s">
        <v>1035</v>
      </c>
      <c r="C433" t="s">
        <v>124</v>
      </c>
      <c r="D433" t="s">
        <v>243</v>
      </c>
      <c r="E433" t="s">
        <v>1036</v>
      </c>
      <c r="F433" t="s">
        <v>64</v>
      </c>
      <c r="G433" t="s">
        <v>65</v>
      </c>
      <c r="H433" t="s">
        <v>66</v>
      </c>
      <c r="I433" t="s">
        <v>67</v>
      </c>
      <c r="J433" s="3">
        <v>44767</v>
      </c>
      <c r="K433">
        <v>3.4</v>
      </c>
      <c r="L433">
        <v>28</v>
      </c>
      <c r="M433" s="4">
        <v>6400</v>
      </c>
      <c r="N433" s="4">
        <v>101013</v>
      </c>
      <c r="O433" t="s">
        <v>68</v>
      </c>
      <c r="P433" t="s">
        <v>68</v>
      </c>
      <c r="Q433">
        <v>3.66</v>
      </c>
      <c r="R433">
        <v>61</v>
      </c>
      <c r="S433">
        <v>21</v>
      </c>
      <c r="T433" t="s">
        <v>69</v>
      </c>
      <c r="U433">
        <v>9</v>
      </c>
      <c r="V433">
        <v>21</v>
      </c>
      <c r="W433" t="s">
        <v>70</v>
      </c>
      <c r="X433" t="s">
        <v>69</v>
      </c>
      <c r="Y433" t="s">
        <v>86</v>
      </c>
      <c r="Z433" t="s">
        <v>124</v>
      </c>
    </row>
    <row r="434" spans="1:26" x14ac:dyDescent="0.2">
      <c r="A434" t="s">
        <v>1037</v>
      </c>
      <c r="B434" t="s">
        <v>1038</v>
      </c>
      <c r="C434" t="s">
        <v>12</v>
      </c>
      <c r="D434" t="s">
        <v>82</v>
      </c>
      <c r="E434" t="s">
        <v>1039</v>
      </c>
      <c r="F434" t="s">
        <v>64</v>
      </c>
      <c r="G434" t="s">
        <v>65</v>
      </c>
      <c r="H434" t="s">
        <v>66</v>
      </c>
      <c r="I434" t="s">
        <v>236</v>
      </c>
      <c r="J434" s="3">
        <v>41257</v>
      </c>
      <c r="K434">
        <v>13.1</v>
      </c>
      <c r="L434">
        <v>38</v>
      </c>
      <c r="M434" s="4">
        <v>4700</v>
      </c>
      <c r="N434" s="4">
        <v>69187</v>
      </c>
      <c r="O434" t="s">
        <v>68</v>
      </c>
      <c r="P434" t="s">
        <v>68</v>
      </c>
      <c r="Q434">
        <v>3.37</v>
      </c>
      <c r="R434">
        <v>66</v>
      </c>
      <c r="S434">
        <v>25</v>
      </c>
      <c r="T434" t="s">
        <v>69</v>
      </c>
      <c r="U434">
        <v>10</v>
      </c>
      <c r="V434">
        <v>13</v>
      </c>
      <c r="W434" t="s">
        <v>70</v>
      </c>
      <c r="X434" t="s">
        <v>68</v>
      </c>
      <c r="Y434" t="s">
        <v>71</v>
      </c>
      <c r="Z434" t="s">
        <v>12</v>
      </c>
    </row>
    <row r="435" spans="1:26" x14ac:dyDescent="0.2">
      <c r="A435" t="s">
        <v>1040</v>
      </c>
      <c r="B435" t="s">
        <v>569</v>
      </c>
      <c r="C435" t="s">
        <v>74</v>
      </c>
      <c r="D435" t="s">
        <v>139</v>
      </c>
      <c r="E435" t="s">
        <v>140</v>
      </c>
      <c r="F435" t="s">
        <v>64</v>
      </c>
      <c r="G435" t="s">
        <v>65</v>
      </c>
      <c r="H435" t="s">
        <v>78</v>
      </c>
      <c r="I435" t="s">
        <v>67</v>
      </c>
      <c r="J435" s="3">
        <v>42389</v>
      </c>
      <c r="K435">
        <v>10</v>
      </c>
      <c r="L435">
        <v>38</v>
      </c>
      <c r="M435" s="4">
        <v>6400</v>
      </c>
      <c r="N435" s="4">
        <v>94479</v>
      </c>
      <c r="O435" t="s">
        <v>68</v>
      </c>
      <c r="P435" t="s">
        <v>68</v>
      </c>
      <c r="Q435">
        <v>3.32</v>
      </c>
      <c r="R435">
        <v>61</v>
      </c>
      <c r="S435">
        <v>33</v>
      </c>
      <c r="T435" t="s">
        <v>69</v>
      </c>
      <c r="U435">
        <v>13</v>
      </c>
      <c r="V435">
        <v>26</v>
      </c>
      <c r="W435" t="s">
        <v>70</v>
      </c>
      <c r="X435" t="s">
        <v>68</v>
      </c>
      <c r="Y435" t="s">
        <v>86</v>
      </c>
      <c r="Z435" t="s">
        <v>74</v>
      </c>
    </row>
    <row r="436" spans="1:26" x14ac:dyDescent="0.2">
      <c r="A436" t="s">
        <v>1041</v>
      </c>
      <c r="B436" t="s">
        <v>509</v>
      </c>
      <c r="C436" t="s">
        <v>74</v>
      </c>
      <c r="D436" t="s">
        <v>75</v>
      </c>
      <c r="E436" t="s">
        <v>204</v>
      </c>
      <c r="F436" t="s">
        <v>64</v>
      </c>
      <c r="G436" t="s">
        <v>65</v>
      </c>
      <c r="H436" t="s">
        <v>66</v>
      </c>
      <c r="I436" t="s">
        <v>67</v>
      </c>
      <c r="J436" s="3">
        <v>44215</v>
      </c>
      <c r="K436">
        <v>5</v>
      </c>
      <c r="L436">
        <v>25</v>
      </c>
      <c r="M436" s="4">
        <v>7400</v>
      </c>
      <c r="N436" s="4">
        <v>120181</v>
      </c>
      <c r="O436" t="s">
        <v>68</v>
      </c>
      <c r="P436" t="s">
        <v>68</v>
      </c>
      <c r="Q436">
        <v>2.88</v>
      </c>
      <c r="R436">
        <v>70</v>
      </c>
      <c r="S436">
        <v>16</v>
      </c>
      <c r="T436" t="s">
        <v>69</v>
      </c>
      <c r="U436">
        <v>16</v>
      </c>
      <c r="V436">
        <v>25</v>
      </c>
      <c r="W436" t="s">
        <v>70</v>
      </c>
      <c r="X436" t="s">
        <v>68</v>
      </c>
      <c r="Y436" t="s">
        <v>71</v>
      </c>
      <c r="Z436" t="s">
        <v>74</v>
      </c>
    </row>
    <row r="437" spans="1:26" x14ac:dyDescent="0.2">
      <c r="A437" t="s">
        <v>1042</v>
      </c>
      <c r="B437" t="s">
        <v>1043</v>
      </c>
      <c r="C437" t="s">
        <v>61</v>
      </c>
      <c r="D437" t="s">
        <v>218</v>
      </c>
      <c r="E437" t="s">
        <v>361</v>
      </c>
      <c r="F437" t="s">
        <v>92</v>
      </c>
      <c r="G437" t="s">
        <v>65</v>
      </c>
      <c r="H437" t="s">
        <v>66</v>
      </c>
      <c r="I437" t="s">
        <v>236</v>
      </c>
      <c r="J437" s="3">
        <v>41139</v>
      </c>
      <c r="K437">
        <v>13.4</v>
      </c>
      <c r="L437">
        <v>60</v>
      </c>
      <c r="M437" s="4">
        <v>3900</v>
      </c>
      <c r="N437" s="4">
        <v>62567</v>
      </c>
      <c r="O437" t="s">
        <v>68</v>
      </c>
      <c r="P437" t="s">
        <v>69</v>
      </c>
      <c r="Q437">
        <v>2.78</v>
      </c>
      <c r="R437">
        <v>66</v>
      </c>
      <c r="S437">
        <v>38</v>
      </c>
      <c r="T437" t="s">
        <v>69</v>
      </c>
      <c r="U437">
        <v>7</v>
      </c>
      <c r="V437">
        <v>31</v>
      </c>
      <c r="W437" t="s">
        <v>70</v>
      </c>
      <c r="X437" t="s">
        <v>68</v>
      </c>
      <c r="Y437" t="s">
        <v>86</v>
      </c>
      <c r="Z437" t="s">
        <v>61</v>
      </c>
    </row>
    <row r="438" spans="1:26" x14ac:dyDescent="0.2">
      <c r="A438" t="s">
        <v>1044</v>
      </c>
      <c r="B438" t="s">
        <v>1045</v>
      </c>
      <c r="C438" t="s">
        <v>143</v>
      </c>
      <c r="D438" t="s">
        <v>144</v>
      </c>
      <c r="E438" t="s">
        <v>1046</v>
      </c>
      <c r="F438" t="s">
        <v>120</v>
      </c>
      <c r="G438" t="s">
        <v>65</v>
      </c>
      <c r="H438" t="s">
        <v>78</v>
      </c>
      <c r="I438" t="s">
        <v>79</v>
      </c>
      <c r="J438" s="3">
        <v>42113</v>
      </c>
      <c r="K438">
        <v>10.7</v>
      </c>
      <c r="L438">
        <v>60</v>
      </c>
      <c r="M438" s="4">
        <v>9500</v>
      </c>
      <c r="N438" s="4">
        <v>136469</v>
      </c>
      <c r="O438" t="s">
        <v>69</v>
      </c>
      <c r="P438" t="s">
        <v>69</v>
      </c>
      <c r="Q438">
        <v>2.96</v>
      </c>
      <c r="R438">
        <v>75</v>
      </c>
      <c r="S438">
        <v>12</v>
      </c>
      <c r="T438" t="s">
        <v>68</v>
      </c>
      <c r="U438">
        <v>8</v>
      </c>
      <c r="V438">
        <v>0</v>
      </c>
      <c r="W438" t="s">
        <v>68</v>
      </c>
      <c r="X438" t="s">
        <v>68</v>
      </c>
      <c r="Y438" t="s">
        <v>71</v>
      </c>
      <c r="Z438" t="s">
        <v>143</v>
      </c>
    </row>
    <row r="439" spans="1:26" x14ac:dyDescent="0.2">
      <c r="A439" t="s">
        <v>1047</v>
      </c>
      <c r="B439" t="s">
        <v>1048</v>
      </c>
      <c r="C439" t="s">
        <v>74</v>
      </c>
      <c r="D439" t="s">
        <v>75</v>
      </c>
      <c r="E439" t="s">
        <v>754</v>
      </c>
      <c r="F439" t="s">
        <v>136</v>
      </c>
      <c r="G439" t="s">
        <v>65</v>
      </c>
      <c r="H439" t="s">
        <v>78</v>
      </c>
      <c r="I439" t="s">
        <v>67</v>
      </c>
      <c r="J439" s="3">
        <v>42441</v>
      </c>
      <c r="K439">
        <v>9.8000000000000007</v>
      </c>
      <c r="L439">
        <v>45</v>
      </c>
      <c r="M439" s="4">
        <v>12600</v>
      </c>
      <c r="N439" s="4">
        <v>200493</v>
      </c>
      <c r="O439" t="s">
        <v>68</v>
      </c>
      <c r="P439" t="s">
        <v>68</v>
      </c>
      <c r="Q439">
        <v>2.84</v>
      </c>
      <c r="R439">
        <v>71</v>
      </c>
      <c r="S439">
        <v>16</v>
      </c>
      <c r="T439" t="s">
        <v>68</v>
      </c>
      <c r="U439">
        <v>7</v>
      </c>
      <c r="V439">
        <v>50</v>
      </c>
      <c r="W439" t="s">
        <v>70</v>
      </c>
      <c r="X439" t="s">
        <v>68</v>
      </c>
      <c r="Y439" t="s">
        <v>71</v>
      </c>
      <c r="Z439" t="s">
        <v>74</v>
      </c>
    </row>
    <row r="440" spans="1:26" x14ac:dyDescent="0.2">
      <c r="A440" t="s">
        <v>1049</v>
      </c>
      <c r="B440" t="s">
        <v>150</v>
      </c>
      <c r="C440" t="s">
        <v>89</v>
      </c>
      <c r="D440" t="s">
        <v>230</v>
      </c>
      <c r="E440" t="s">
        <v>505</v>
      </c>
      <c r="F440" t="s">
        <v>77</v>
      </c>
      <c r="G440" t="s">
        <v>65</v>
      </c>
      <c r="H440" t="s">
        <v>66</v>
      </c>
      <c r="I440" t="s">
        <v>99</v>
      </c>
      <c r="J440" s="3">
        <v>43277</v>
      </c>
      <c r="K440">
        <v>7.5</v>
      </c>
      <c r="L440">
        <v>29</v>
      </c>
      <c r="M440" s="4">
        <v>13600</v>
      </c>
      <c r="N440" s="4">
        <v>211837</v>
      </c>
      <c r="O440" t="s">
        <v>68</v>
      </c>
      <c r="P440" t="s">
        <v>69</v>
      </c>
      <c r="Q440">
        <v>3.75</v>
      </c>
      <c r="R440">
        <v>63</v>
      </c>
      <c r="S440">
        <v>29</v>
      </c>
      <c r="T440" t="s">
        <v>68</v>
      </c>
      <c r="U440">
        <v>3</v>
      </c>
      <c r="V440">
        <v>8</v>
      </c>
      <c r="W440" t="s">
        <v>70</v>
      </c>
      <c r="X440" t="s">
        <v>69</v>
      </c>
      <c r="Y440" t="s">
        <v>71</v>
      </c>
      <c r="Z440" t="s">
        <v>89</v>
      </c>
    </row>
    <row r="441" spans="1:26" x14ac:dyDescent="0.2">
      <c r="A441" t="s">
        <v>1050</v>
      </c>
      <c r="B441" t="s">
        <v>770</v>
      </c>
      <c r="C441" t="s">
        <v>102</v>
      </c>
      <c r="D441" t="s">
        <v>339</v>
      </c>
      <c r="E441" t="s">
        <v>472</v>
      </c>
      <c r="F441" t="s">
        <v>64</v>
      </c>
      <c r="G441" t="s">
        <v>65</v>
      </c>
      <c r="H441" t="s">
        <v>66</v>
      </c>
      <c r="I441" t="s">
        <v>99</v>
      </c>
      <c r="J441" s="3">
        <v>41238</v>
      </c>
      <c r="K441">
        <v>13.1</v>
      </c>
      <c r="L441">
        <v>45</v>
      </c>
      <c r="M441" s="4">
        <v>6200</v>
      </c>
      <c r="N441" s="4">
        <v>95062</v>
      </c>
      <c r="O441" t="s">
        <v>68</v>
      </c>
      <c r="P441" t="s">
        <v>69</v>
      </c>
      <c r="Q441">
        <v>3.57</v>
      </c>
      <c r="R441">
        <v>61</v>
      </c>
      <c r="S441">
        <v>10</v>
      </c>
      <c r="T441" t="s">
        <v>69</v>
      </c>
      <c r="U441">
        <v>1</v>
      </c>
      <c r="V441">
        <v>12</v>
      </c>
      <c r="W441" t="s">
        <v>70</v>
      </c>
      <c r="X441" t="s">
        <v>69</v>
      </c>
      <c r="Y441" t="s">
        <v>71</v>
      </c>
      <c r="Z441" t="s">
        <v>102</v>
      </c>
    </row>
    <row r="442" spans="1:26" x14ac:dyDescent="0.2">
      <c r="A442" t="s">
        <v>1051</v>
      </c>
      <c r="B442" t="s">
        <v>1052</v>
      </c>
      <c r="C442" t="s">
        <v>74</v>
      </c>
      <c r="D442" t="s">
        <v>118</v>
      </c>
      <c r="E442" t="s">
        <v>1053</v>
      </c>
      <c r="F442" t="s">
        <v>92</v>
      </c>
      <c r="G442" t="s">
        <v>65</v>
      </c>
      <c r="H442" t="s">
        <v>66</v>
      </c>
      <c r="I442" t="s">
        <v>111</v>
      </c>
      <c r="J442" s="3">
        <v>41490</v>
      </c>
      <c r="K442">
        <v>12.4</v>
      </c>
      <c r="L442">
        <v>30</v>
      </c>
      <c r="M442" s="4">
        <v>3300</v>
      </c>
      <c r="N442" s="4">
        <v>48474</v>
      </c>
      <c r="O442" t="s">
        <v>68</v>
      </c>
      <c r="P442" t="s">
        <v>68</v>
      </c>
      <c r="Q442">
        <v>3.14</v>
      </c>
      <c r="R442">
        <v>56</v>
      </c>
      <c r="S442">
        <v>36</v>
      </c>
      <c r="T442" t="s">
        <v>68</v>
      </c>
      <c r="U442">
        <v>0</v>
      </c>
      <c r="V442">
        <v>50</v>
      </c>
      <c r="W442" t="s">
        <v>70</v>
      </c>
      <c r="X442" t="s">
        <v>68</v>
      </c>
      <c r="Y442" t="s">
        <v>86</v>
      </c>
      <c r="Z442" t="s">
        <v>74</v>
      </c>
    </row>
    <row r="443" spans="1:26" x14ac:dyDescent="0.2">
      <c r="A443" t="s">
        <v>1054</v>
      </c>
      <c r="B443" t="s">
        <v>894</v>
      </c>
      <c r="C443" t="s">
        <v>143</v>
      </c>
      <c r="D443" t="s">
        <v>207</v>
      </c>
      <c r="E443" t="s">
        <v>705</v>
      </c>
      <c r="F443" t="s">
        <v>136</v>
      </c>
      <c r="G443" t="s">
        <v>65</v>
      </c>
      <c r="H443" t="s">
        <v>78</v>
      </c>
      <c r="I443" t="s">
        <v>111</v>
      </c>
      <c r="J443" s="3">
        <v>45243</v>
      </c>
      <c r="K443">
        <v>2.1</v>
      </c>
      <c r="L443">
        <v>56</v>
      </c>
      <c r="M443" s="4">
        <v>15000</v>
      </c>
      <c r="N443" s="4">
        <v>215968</v>
      </c>
      <c r="O443" t="s">
        <v>68</v>
      </c>
      <c r="P443" t="s">
        <v>69</v>
      </c>
      <c r="Q443">
        <v>2.81</v>
      </c>
      <c r="R443">
        <v>68</v>
      </c>
      <c r="S443">
        <v>28</v>
      </c>
      <c r="T443" t="s">
        <v>69</v>
      </c>
      <c r="U443">
        <v>1</v>
      </c>
      <c r="V443">
        <v>0</v>
      </c>
      <c r="W443" t="s">
        <v>70</v>
      </c>
      <c r="X443" t="s">
        <v>68</v>
      </c>
      <c r="Y443" t="s">
        <v>71</v>
      </c>
      <c r="Z443" t="s">
        <v>143</v>
      </c>
    </row>
    <row r="444" spans="1:26" x14ac:dyDescent="0.2">
      <c r="A444" t="s">
        <v>1055</v>
      </c>
      <c r="B444" t="s">
        <v>850</v>
      </c>
      <c r="C444" t="s">
        <v>124</v>
      </c>
      <c r="D444" t="s">
        <v>243</v>
      </c>
      <c r="E444" t="s">
        <v>1036</v>
      </c>
      <c r="F444" t="s">
        <v>64</v>
      </c>
      <c r="G444" t="s">
        <v>65</v>
      </c>
      <c r="H444" t="s">
        <v>66</v>
      </c>
      <c r="I444" t="s">
        <v>111</v>
      </c>
      <c r="J444" s="3">
        <v>44950</v>
      </c>
      <c r="K444">
        <v>2.9</v>
      </c>
      <c r="L444">
        <v>23</v>
      </c>
      <c r="M444" s="4">
        <v>5800</v>
      </c>
      <c r="N444" s="4">
        <v>94034</v>
      </c>
      <c r="O444" t="s">
        <v>68</v>
      </c>
      <c r="P444" t="s">
        <v>68</v>
      </c>
      <c r="Q444">
        <v>3.61</v>
      </c>
      <c r="R444">
        <v>71</v>
      </c>
      <c r="S444">
        <v>36</v>
      </c>
      <c r="T444" t="s">
        <v>69</v>
      </c>
      <c r="U444">
        <v>2</v>
      </c>
      <c r="V444">
        <v>19</v>
      </c>
      <c r="W444" t="s">
        <v>70</v>
      </c>
      <c r="X444" t="s">
        <v>69</v>
      </c>
      <c r="Y444" t="s">
        <v>71</v>
      </c>
      <c r="Z444" t="s">
        <v>124</v>
      </c>
    </row>
    <row r="445" spans="1:26" x14ac:dyDescent="0.2">
      <c r="A445" t="s">
        <v>1056</v>
      </c>
      <c r="B445" t="s">
        <v>740</v>
      </c>
      <c r="C445" t="s">
        <v>89</v>
      </c>
      <c r="D445" t="s">
        <v>90</v>
      </c>
      <c r="E445" t="s">
        <v>348</v>
      </c>
      <c r="F445" t="s">
        <v>77</v>
      </c>
      <c r="G445" t="s">
        <v>85</v>
      </c>
      <c r="H445" t="s">
        <v>78</v>
      </c>
      <c r="I445" t="s">
        <v>99</v>
      </c>
      <c r="J445" s="3">
        <v>42150</v>
      </c>
      <c r="K445">
        <v>10.6</v>
      </c>
      <c r="L445">
        <v>51</v>
      </c>
      <c r="M445" s="4">
        <v>11200</v>
      </c>
      <c r="N445" s="4">
        <v>175751</v>
      </c>
      <c r="O445" t="s">
        <v>68</v>
      </c>
      <c r="P445" t="s">
        <v>69</v>
      </c>
      <c r="Q445">
        <v>2.92</v>
      </c>
      <c r="R445">
        <v>54</v>
      </c>
      <c r="S445">
        <v>36</v>
      </c>
      <c r="T445" t="s">
        <v>69</v>
      </c>
      <c r="U445">
        <v>0</v>
      </c>
      <c r="V445">
        <v>30</v>
      </c>
      <c r="W445" t="s">
        <v>70</v>
      </c>
      <c r="X445" t="s">
        <v>68</v>
      </c>
      <c r="Y445" t="s">
        <v>86</v>
      </c>
      <c r="Z445" t="s">
        <v>89</v>
      </c>
    </row>
    <row r="446" spans="1:26" x14ac:dyDescent="0.2">
      <c r="A446" t="s">
        <v>1057</v>
      </c>
      <c r="B446" t="s">
        <v>1058</v>
      </c>
      <c r="C446" t="s">
        <v>102</v>
      </c>
      <c r="D446" t="s">
        <v>166</v>
      </c>
      <c r="E446" t="s">
        <v>1059</v>
      </c>
      <c r="F446" t="s">
        <v>92</v>
      </c>
      <c r="G446" t="s">
        <v>65</v>
      </c>
      <c r="H446" t="s">
        <v>66</v>
      </c>
      <c r="I446" t="s">
        <v>79</v>
      </c>
      <c r="J446" s="3">
        <v>44856</v>
      </c>
      <c r="K446">
        <v>3.2</v>
      </c>
      <c r="L446">
        <v>30</v>
      </c>
      <c r="M446" s="4">
        <v>4400</v>
      </c>
      <c r="N446" s="4">
        <v>67785</v>
      </c>
      <c r="O446" t="s">
        <v>68</v>
      </c>
      <c r="P446" t="s">
        <v>69</v>
      </c>
      <c r="Q446">
        <v>3.23</v>
      </c>
      <c r="R446">
        <v>62</v>
      </c>
      <c r="S446">
        <v>27</v>
      </c>
      <c r="T446" t="s">
        <v>69</v>
      </c>
      <c r="U446">
        <v>7</v>
      </c>
      <c r="V446">
        <v>19</v>
      </c>
      <c r="W446" t="s">
        <v>70</v>
      </c>
      <c r="X446" t="s">
        <v>68</v>
      </c>
      <c r="Y446" t="s">
        <v>86</v>
      </c>
      <c r="Z446" t="s">
        <v>102</v>
      </c>
    </row>
    <row r="447" spans="1:26" x14ac:dyDescent="0.2">
      <c r="A447" t="s">
        <v>1060</v>
      </c>
      <c r="B447" t="s">
        <v>1061</v>
      </c>
      <c r="C447" t="s">
        <v>96</v>
      </c>
      <c r="D447" t="s">
        <v>162</v>
      </c>
      <c r="E447" t="s">
        <v>632</v>
      </c>
      <c r="F447" t="s">
        <v>120</v>
      </c>
      <c r="G447" t="s">
        <v>65</v>
      </c>
      <c r="H447" t="s">
        <v>66</v>
      </c>
      <c r="I447" t="s">
        <v>115</v>
      </c>
      <c r="J447" s="3">
        <v>45580</v>
      </c>
      <c r="K447">
        <v>1.2</v>
      </c>
      <c r="L447">
        <v>22</v>
      </c>
      <c r="M447" s="4">
        <v>7400</v>
      </c>
      <c r="N447" s="4">
        <v>117767</v>
      </c>
      <c r="O447" t="s">
        <v>68</v>
      </c>
      <c r="P447" t="s">
        <v>69</v>
      </c>
      <c r="Q447">
        <v>2.83</v>
      </c>
      <c r="R447">
        <v>62</v>
      </c>
      <c r="S447">
        <v>26</v>
      </c>
      <c r="T447" t="s">
        <v>69</v>
      </c>
      <c r="U447">
        <v>8</v>
      </c>
      <c r="V447">
        <v>31</v>
      </c>
      <c r="W447" t="s">
        <v>70</v>
      </c>
      <c r="X447" t="s">
        <v>68</v>
      </c>
      <c r="Y447" t="s">
        <v>71</v>
      </c>
      <c r="Z447" t="s">
        <v>96</v>
      </c>
    </row>
    <row r="448" spans="1:26" x14ac:dyDescent="0.2">
      <c r="A448" t="s">
        <v>1062</v>
      </c>
      <c r="B448" t="s">
        <v>1063</v>
      </c>
      <c r="C448" t="s">
        <v>89</v>
      </c>
      <c r="D448" t="s">
        <v>90</v>
      </c>
      <c r="E448" t="s">
        <v>187</v>
      </c>
      <c r="F448" t="s">
        <v>120</v>
      </c>
      <c r="G448" t="s">
        <v>65</v>
      </c>
      <c r="H448" t="s">
        <v>78</v>
      </c>
      <c r="I448" t="s">
        <v>67</v>
      </c>
      <c r="J448" s="3">
        <v>45001</v>
      </c>
      <c r="K448">
        <v>2.8</v>
      </c>
      <c r="L448">
        <v>28</v>
      </c>
      <c r="M448" s="4">
        <v>9500</v>
      </c>
      <c r="N448" s="4">
        <v>145400</v>
      </c>
      <c r="O448" t="s">
        <v>68</v>
      </c>
      <c r="P448" t="s">
        <v>69</v>
      </c>
      <c r="Q448">
        <v>3.13</v>
      </c>
      <c r="R448">
        <v>52</v>
      </c>
      <c r="S448">
        <v>27</v>
      </c>
      <c r="T448" t="s">
        <v>69</v>
      </c>
      <c r="U448">
        <v>5</v>
      </c>
      <c r="V448">
        <v>38</v>
      </c>
      <c r="W448" t="s">
        <v>70</v>
      </c>
      <c r="X448" t="s">
        <v>68</v>
      </c>
      <c r="Y448" t="s">
        <v>86</v>
      </c>
      <c r="Z448" t="s">
        <v>89</v>
      </c>
    </row>
    <row r="449" spans="1:26" x14ac:dyDescent="0.2">
      <c r="A449" t="s">
        <v>1064</v>
      </c>
      <c r="B449" t="s">
        <v>1065</v>
      </c>
      <c r="C449" t="s">
        <v>61</v>
      </c>
      <c r="D449" t="s">
        <v>604</v>
      </c>
      <c r="E449" t="s">
        <v>1066</v>
      </c>
      <c r="F449" t="s">
        <v>64</v>
      </c>
      <c r="G449" t="s">
        <v>65</v>
      </c>
      <c r="H449" t="s">
        <v>66</v>
      </c>
      <c r="I449" t="s">
        <v>99</v>
      </c>
      <c r="J449" s="3">
        <v>43794</v>
      </c>
      <c r="K449">
        <v>6.1</v>
      </c>
      <c r="L449">
        <v>56</v>
      </c>
      <c r="M449" s="4">
        <v>7300</v>
      </c>
      <c r="N449" s="4">
        <v>116643</v>
      </c>
      <c r="O449" t="s">
        <v>68</v>
      </c>
      <c r="P449" t="s">
        <v>69</v>
      </c>
      <c r="Q449">
        <v>2.78</v>
      </c>
      <c r="R449">
        <v>72</v>
      </c>
      <c r="S449">
        <v>42</v>
      </c>
      <c r="T449" t="s">
        <v>69</v>
      </c>
      <c r="U449">
        <v>3</v>
      </c>
      <c r="V449">
        <v>23</v>
      </c>
      <c r="W449" t="s">
        <v>70</v>
      </c>
      <c r="X449" t="s">
        <v>68</v>
      </c>
      <c r="Y449" t="s">
        <v>71</v>
      </c>
      <c r="Z449" t="s">
        <v>61</v>
      </c>
    </row>
    <row r="450" spans="1:26" x14ac:dyDescent="0.2">
      <c r="A450" t="s">
        <v>1067</v>
      </c>
      <c r="B450" t="s">
        <v>161</v>
      </c>
      <c r="C450" t="s">
        <v>143</v>
      </c>
      <c r="D450" t="s">
        <v>207</v>
      </c>
      <c r="E450" t="s">
        <v>796</v>
      </c>
      <c r="F450" t="s">
        <v>84</v>
      </c>
      <c r="G450" t="s">
        <v>65</v>
      </c>
      <c r="H450" t="s">
        <v>66</v>
      </c>
      <c r="I450" t="s">
        <v>148</v>
      </c>
      <c r="J450" s="3">
        <v>42401</v>
      </c>
      <c r="K450">
        <v>9.9</v>
      </c>
      <c r="L450">
        <v>45</v>
      </c>
      <c r="M450" s="4">
        <v>14800</v>
      </c>
      <c r="N450" s="4">
        <v>219566</v>
      </c>
      <c r="O450" t="s">
        <v>69</v>
      </c>
      <c r="P450" t="s">
        <v>69</v>
      </c>
      <c r="Q450">
        <v>3.15</v>
      </c>
      <c r="R450">
        <v>51</v>
      </c>
      <c r="S450">
        <v>32</v>
      </c>
      <c r="T450" t="s">
        <v>69</v>
      </c>
      <c r="U450">
        <v>8</v>
      </c>
      <c r="V450">
        <v>11</v>
      </c>
      <c r="W450" t="s">
        <v>68</v>
      </c>
      <c r="X450" t="s">
        <v>68</v>
      </c>
      <c r="Y450" t="s">
        <v>71</v>
      </c>
      <c r="Z450" t="s">
        <v>143</v>
      </c>
    </row>
    <row r="451" spans="1:26" x14ac:dyDescent="0.2">
      <c r="A451" t="s">
        <v>1068</v>
      </c>
      <c r="B451" t="s">
        <v>808</v>
      </c>
      <c r="C451" t="s">
        <v>74</v>
      </c>
      <c r="D451" t="s">
        <v>75</v>
      </c>
      <c r="E451" t="s">
        <v>728</v>
      </c>
      <c r="F451" t="s">
        <v>174</v>
      </c>
      <c r="G451" t="s">
        <v>65</v>
      </c>
      <c r="H451" t="s">
        <v>66</v>
      </c>
      <c r="I451" t="s">
        <v>99</v>
      </c>
      <c r="J451" s="3">
        <v>43168</v>
      </c>
      <c r="K451">
        <v>7.8</v>
      </c>
      <c r="L451">
        <v>36</v>
      </c>
      <c r="M451" s="4">
        <v>27700</v>
      </c>
      <c r="N451" s="4">
        <v>414579</v>
      </c>
      <c r="O451" t="s">
        <v>69</v>
      </c>
      <c r="P451" t="s">
        <v>68</v>
      </c>
      <c r="Q451">
        <v>2.74</v>
      </c>
      <c r="R451">
        <v>54</v>
      </c>
      <c r="S451">
        <v>29</v>
      </c>
      <c r="T451" t="s">
        <v>69</v>
      </c>
      <c r="U451">
        <v>8</v>
      </c>
      <c r="V451">
        <v>0</v>
      </c>
      <c r="W451" t="s">
        <v>68</v>
      </c>
      <c r="X451" t="s">
        <v>68</v>
      </c>
      <c r="Y451" t="s">
        <v>71</v>
      </c>
      <c r="Z451" t="s">
        <v>74</v>
      </c>
    </row>
    <row r="452" spans="1:26" x14ac:dyDescent="0.2">
      <c r="A452" t="s">
        <v>1069</v>
      </c>
      <c r="B452" t="s">
        <v>298</v>
      </c>
      <c r="C452" t="s">
        <v>102</v>
      </c>
      <c r="D452" t="s">
        <v>103</v>
      </c>
      <c r="E452" t="s">
        <v>1070</v>
      </c>
      <c r="F452" t="s">
        <v>174</v>
      </c>
      <c r="G452" t="s">
        <v>85</v>
      </c>
      <c r="H452" t="s">
        <v>78</v>
      </c>
      <c r="I452" t="s">
        <v>79</v>
      </c>
      <c r="J452" s="3">
        <v>42178</v>
      </c>
      <c r="K452">
        <v>10.5</v>
      </c>
      <c r="L452">
        <v>28</v>
      </c>
      <c r="M452" s="4">
        <v>32300</v>
      </c>
      <c r="N452" s="4">
        <v>474980</v>
      </c>
      <c r="O452" t="s">
        <v>69</v>
      </c>
      <c r="P452" t="s">
        <v>69</v>
      </c>
      <c r="Q452">
        <v>3.13</v>
      </c>
      <c r="R452">
        <v>63</v>
      </c>
      <c r="S452">
        <v>36</v>
      </c>
      <c r="T452" t="s">
        <v>69</v>
      </c>
      <c r="U452">
        <v>4</v>
      </c>
      <c r="V452">
        <v>0</v>
      </c>
      <c r="W452" t="s">
        <v>68</v>
      </c>
      <c r="X452" t="s">
        <v>68</v>
      </c>
      <c r="Y452" t="s">
        <v>71</v>
      </c>
      <c r="Z452" t="s">
        <v>102</v>
      </c>
    </row>
    <row r="453" spans="1:26" x14ac:dyDescent="0.2">
      <c r="A453" t="s">
        <v>1071</v>
      </c>
      <c r="B453" t="s">
        <v>1072</v>
      </c>
      <c r="C453" t="s">
        <v>74</v>
      </c>
      <c r="D453" t="s">
        <v>139</v>
      </c>
      <c r="E453" t="s">
        <v>197</v>
      </c>
      <c r="F453" t="s">
        <v>120</v>
      </c>
      <c r="G453" t="s">
        <v>65</v>
      </c>
      <c r="H453" t="s">
        <v>78</v>
      </c>
      <c r="I453" t="s">
        <v>236</v>
      </c>
      <c r="J453" s="3">
        <v>43057</v>
      </c>
      <c r="K453">
        <v>8.1</v>
      </c>
      <c r="L453">
        <v>40</v>
      </c>
      <c r="M453" s="4">
        <v>9300</v>
      </c>
      <c r="N453" s="4">
        <v>144298</v>
      </c>
      <c r="O453" t="s">
        <v>68</v>
      </c>
      <c r="P453" t="s">
        <v>68</v>
      </c>
      <c r="Q453">
        <v>3.5</v>
      </c>
      <c r="R453">
        <v>70</v>
      </c>
      <c r="S453">
        <v>9</v>
      </c>
      <c r="T453" t="s">
        <v>69</v>
      </c>
      <c r="U453">
        <v>0</v>
      </c>
      <c r="V453">
        <v>23</v>
      </c>
      <c r="W453" t="s">
        <v>70</v>
      </c>
      <c r="X453" t="s">
        <v>69</v>
      </c>
      <c r="Y453" t="s">
        <v>71</v>
      </c>
      <c r="Z453" t="s">
        <v>74</v>
      </c>
    </row>
    <row r="454" spans="1:26" x14ac:dyDescent="0.2">
      <c r="A454" t="s">
        <v>1073</v>
      </c>
      <c r="B454" t="s">
        <v>1016</v>
      </c>
      <c r="C454" t="s">
        <v>74</v>
      </c>
      <c r="D454" t="s">
        <v>139</v>
      </c>
      <c r="E454" t="s">
        <v>709</v>
      </c>
      <c r="F454" t="s">
        <v>77</v>
      </c>
      <c r="G454" t="s">
        <v>85</v>
      </c>
      <c r="H454" t="s">
        <v>66</v>
      </c>
      <c r="I454" t="s">
        <v>148</v>
      </c>
      <c r="J454" s="3">
        <v>43391</v>
      </c>
      <c r="K454">
        <v>7.2</v>
      </c>
      <c r="L454">
        <v>46</v>
      </c>
      <c r="M454" s="4">
        <v>10300</v>
      </c>
      <c r="N454" s="4">
        <v>146455</v>
      </c>
      <c r="O454" t="s">
        <v>68</v>
      </c>
      <c r="P454" t="s">
        <v>68</v>
      </c>
      <c r="Q454">
        <v>3.06</v>
      </c>
      <c r="R454">
        <v>65</v>
      </c>
      <c r="S454">
        <v>30</v>
      </c>
      <c r="T454" t="s">
        <v>69</v>
      </c>
      <c r="U454">
        <v>6</v>
      </c>
      <c r="V454">
        <v>52</v>
      </c>
      <c r="W454" t="s">
        <v>70</v>
      </c>
      <c r="X454" t="s">
        <v>68</v>
      </c>
      <c r="Y454" t="s">
        <v>86</v>
      </c>
      <c r="Z454" t="s">
        <v>74</v>
      </c>
    </row>
    <row r="455" spans="1:26" x14ac:dyDescent="0.2">
      <c r="A455" t="s">
        <v>1074</v>
      </c>
      <c r="B455" t="s">
        <v>1075</v>
      </c>
      <c r="C455" t="s">
        <v>102</v>
      </c>
      <c r="D455" t="s">
        <v>183</v>
      </c>
      <c r="E455" t="s">
        <v>965</v>
      </c>
      <c r="F455" t="s">
        <v>136</v>
      </c>
      <c r="G455" t="s">
        <v>65</v>
      </c>
      <c r="H455" t="s">
        <v>66</v>
      </c>
      <c r="I455" t="s">
        <v>79</v>
      </c>
      <c r="J455" s="3">
        <v>43472</v>
      </c>
      <c r="K455">
        <v>7</v>
      </c>
      <c r="L455">
        <v>36</v>
      </c>
      <c r="M455" s="4">
        <v>14600</v>
      </c>
      <c r="N455" s="4">
        <v>231781</v>
      </c>
      <c r="O455" t="s">
        <v>68</v>
      </c>
      <c r="P455" t="s">
        <v>69</v>
      </c>
      <c r="Q455">
        <v>2.21</v>
      </c>
      <c r="R455">
        <v>52</v>
      </c>
      <c r="S455">
        <v>27</v>
      </c>
      <c r="T455" t="s">
        <v>69</v>
      </c>
      <c r="U455">
        <v>7</v>
      </c>
      <c r="V455">
        <v>24</v>
      </c>
      <c r="W455" t="s">
        <v>70</v>
      </c>
      <c r="X455" t="s">
        <v>68</v>
      </c>
      <c r="Y455" t="s">
        <v>86</v>
      </c>
      <c r="Z455" t="s">
        <v>102</v>
      </c>
    </row>
    <row r="456" spans="1:26" x14ac:dyDescent="0.2">
      <c r="A456" t="s">
        <v>1076</v>
      </c>
      <c r="B456" t="s">
        <v>1077</v>
      </c>
      <c r="C456" t="s">
        <v>102</v>
      </c>
      <c r="D456" t="s">
        <v>103</v>
      </c>
      <c r="E456" t="s">
        <v>104</v>
      </c>
      <c r="F456" t="s">
        <v>92</v>
      </c>
      <c r="G456" t="s">
        <v>65</v>
      </c>
      <c r="H456" t="s">
        <v>78</v>
      </c>
      <c r="I456" t="s">
        <v>67</v>
      </c>
      <c r="J456" s="3">
        <v>43830</v>
      </c>
      <c r="K456">
        <v>6</v>
      </c>
      <c r="L456">
        <v>47</v>
      </c>
      <c r="M456" s="4">
        <v>4900</v>
      </c>
      <c r="N456" s="4">
        <v>80389</v>
      </c>
      <c r="O456" t="s">
        <v>69</v>
      </c>
      <c r="P456" t="s">
        <v>69</v>
      </c>
      <c r="Q456">
        <v>2.9</v>
      </c>
      <c r="R456">
        <v>54</v>
      </c>
      <c r="S456">
        <v>26</v>
      </c>
      <c r="T456" t="s">
        <v>68</v>
      </c>
      <c r="U456">
        <v>2</v>
      </c>
      <c r="V456">
        <v>0</v>
      </c>
      <c r="W456" t="s">
        <v>69</v>
      </c>
      <c r="X456" t="s">
        <v>68</v>
      </c>
      <c r="Y456" t="s">
        <v>86</v>
      </c>
      <c r="Z456" t="s">
        <v>102</v>
      </c>
    </row>
    <row r="457" spans="1:26" x14ac:dyDescent="0.2">
      <c r="A457" t="s">
        <v>1078</v>
      </c>
      <c r="B457" t="s">
        <v>613</v>
      </c>
      <c r="C457" t="s">
        <v>96</v>
      </c>
      <c r="D457" t="s">
        <v>234</v>
      </c>
      <c r="E457" t="s">
        <v>1079</v>
      </c>
      <c r="F457" t="s">
        <v>174</v>
      </c>
      <c r="G457" t="s">
        <v>65</v>
      </c>
      <c r="H457" t="s">
        <v>66</v>
      </c>
      <c r="I457" t="s">
        <v>99</v>
      </c>
      <c r="J457" s="3">
        <v>45125</v>
      </c>
      <c r="K457">
        <v>2.5</v>
      </c>
      <c r="L457">
        <v>30</v>
      </c>
      <c r="M457" s="4">
        <v>22300</v>
      </c>
      <c r="N457" s="4">
        <v>315912</v>
      </c>
      <c r="O457" t="s">
        <v>69</v>
      </c>
      <c r="P457" t="s">
        <v>69</v>
      </c>
      <c r="Q457">
        <v>3.39</v>
      </c>
      <c r="R457">
        <v>77</v>
      </c>
      <c r="S457">
        <v>41</v>
      </c>
      <c r="T457" t="s">
        <v>69</v>
      </c>
      <c r="U457">
        <v>5</v>
      </c>
      <c r="V457">
        <v>30</v>
      </c>
      <c r="W457" t="s">
        <v>69</v>
      </c>
      <c r="X457" t="s">
        <v>68</v>
      </c>
      <c r="Y457" t="s">
        <v>71</v>
      </c>
      <c r="Z457" t="s">
        <v>96</v>
      </c>
    </row>
    <row r="458" spans="1:26" x14ac:dyDescent="0.2">
      <c r="A458" t="s">
        <v>1080</v>
      </c>
      <c r="B458" t="s">
        <v>1081</v>
      </c>
      <c r="C458" t="s">
        <v>96</v>
      </c>
      <c r="D458" t="s">
        <v>162</v>
      </c>
      <c r="E458" t="s">
        <v>1082</v>
      </c>
      <c r="F458" t="s">
        <v>77</v>
      </c>
      <c r="G458" t="s">
        <v>65</v>
      </c>
      <c r="H458" t="s">
        <v>66</v>
      </c>
      <c r="I458" t="s">
        <v>99</v>
      </c>
      <c r="J458" s="3">
        <v>42523</v>
      </c>
      <c r="K458">
        <v>9.6</v>
      </c>
      <c r="L458">
        <v>24</v>
      </c>
      <c r="M458" s="4">
        <v>9300</v>
      </c>
      <c r="N458" s="4">
        <v>135425</v>
      </c>
      <c r="O458" t="s">
        <v>68</v>
      </c>
      <c r="P458" t="s">
        <v>69</v>
      </c>
      <c r="Q458">
        <v>2.73</v>
      </c>
      <c r="R458">
        <v>60</v>
      </c>
      <c r="S458">
        <v>14</v>
      </c>
      <c r="T458" t="s">
        <v>69</v>
      </c>
      <c r="U458">
        <v>4</v>
      </c>
      <c r="V458">
        <v>6</v>
      </c>
      <c r="W458" t="s">
        <v>70</v>
      </c>
      <c r="X458" t="s">
        <v>68</v>
      </c>
      <c r="Y458" t="s">
        <v>71</v>
      </c>
      <c r="Z458" t="s">
        <v>96</v>
      </c>
    </row>
    <row r="459" spans="1:26" x14ac:dyDescent="0.2">
      <c r="A459" t="s">
        <v>1083</v>
      </c>
      <c r="B459" t="s">
        <v>417</v>
      </c>
      <c r="C459" t="s">
        <v>96</v>
      </c>
      <c r="D459" t="s">
        <v>97</v>
      </c>
      <c r="E459" t="s">
        <v>98</v>
      </c>
      <c r="F459" t="s">
        <v>77</v>
      </c>
      <c r="G459" t="s">
        <v>65</v>
      </c>
      <c r="H459" t="s">
        <v>78</v>
      </c>
      <c r="I459" t="s">
        <v>99</v>
      </c>
      <c r="J459" s="3">
        <v>43949</v>
      </c>
      <c r="K459">
        <v>5.7</v>
      </c>
      <c r="L459">
        <v>24</v>
      </c>
      <c r="M459" s="4">
        <v>13100</v>
      </c>
      <c r="N459" s="4">
        <v>205844</v>
      </c>
      <c r="O459" t="s">
        <v>68</v>
      </c>
      <c r="P459" t="s">
        <v>69</v>
      </c>
      <c r="Q459">
        <v>2.06</v>
      </c>
      <c r="R459">
        <v>61</v>
      </c>
      <c r="S459">
        <v>27</v>
      </c>
      <c r="T459" t="s">
        <v>69</v>
      </c>
      <c r="U459">
        <v>5</v>
      </c>
      <c r="V459">
        <v>10</v>
      </c>
      <c r="W459" t="s">
        <v>70</v>
      </c>
      <c r="X459" t="s">
        <v>68</v>
      </c>
      <c r="Y459" t="s">
        <v>71</v>
      </c>
      <c r="Z459" t="s">
        <v>96</v>
      </c>
    </row>
    <row r="460" spans="1:26" x14ac:dyDescent="0.2">
      <c r="A460" t="s">
        <v>1084</v>
      </c>
      <c r="B460" t="s">
        <v>407</v>
      </c>
      <c r="C460" t="s">
        <v>89</v>
      </c>
      <c r="D460" t="s">
        <v>230</v>
      </c>
      <c r="E460" t="s">
        <v>505</v>
      </c>
      <c r="F460" t="s">
        <v>77</v>
      </c>
      <c r="G460" t="s">
        <v>227</v>
      </c>
      <c r="H460" t="s">
        <v>66</v>
      </c>
      <c r="I460" t="s">
        <v>148</v>
      </c>
      <c r="J460" s="3">
        <v>41326</v>
      </c>
      <c r="K460">
        <v>12.9</v>
      </c>
      <c r="L460">
        <v>59</v>
      </c>
      <c r="M460" s="4">
        <v>10600</v>
      </c>
      <c r="N460" s="4">
        <v>156258</v>
      </c>
      <c r="O460" t="s">
        <v>68</v>
      </c>
      <c r="P460" t="s">
        <v>69</v>
      </c>
      <c r="Q460">
        <v>2.5</v>
      </c>
      <c r="R460">
        <v>69</v>
      </c>
      <c r="S460">
        <v>18</v>
      </c>
      <c r="T460" t="s">
        <v>69</v>
      </c>
      <c r="U460">
        <v>0</v>
      </c>
      <c r="V460">
        <v>14</v>
      </c>
      <c r="W460" t="s">
        <v>70</v>
      </c>
      <c r="X460" t="s">
        <v>68</v>
      </c>
      <c r="Y460" t="s">
        <v>71</v>
      </c>
      <c r="Z460" t="s">
        <v>89</v>
      </c>
    </row>
    <row r="461" spans="1:26" x14ac:dyDescent="0.2">
      <c r="A461" t="s">
        <v>1085</v>
      </c>
      <c r="B461" t="s">
        <v>263</v>
      </c>
      <c r="C461" t="s">
        <v>89</v>
      </c>
      <c r="D461" t="s">
        <v>239</v>
      </c>
      <c r="E461" t="s">
        <v>580</v>
      </c>
      <c r="F461" t="s">
        <v>77</v>
      </c>
      <c r="G461" t="s">
        <v>65</v>
      </c>
      <c r="H461" t="s">
        <v>66</v>
      </c>
      <c r="I461" t="s">
        <v>67</v>
      </c>
      <c r="J461" s="3">
        <v>45033</v>
      </c>
      <c r="K461">
        <v>2.7</v>
      </c>
      <c r="L461">
        <v>41</v>
      </c>
      <c r="M461" s="4">
        <v>10900</v>
      </c>
      <c r="N461" s="4">
        <v>159687</v>
      </c>
      <c r="O461" t="s">
        <v>68</v>
      </c>
      <c r="P461" t="s">
        <v>69</v>
      </c>
      <c r="Q461">
        <v>3.5</v>
      </c>
      <c r="R461">
        <v>56</v>
      </c>
      <c r="S461">
        <v>30</v>
      </c>
      <c r="T461" t="s">
        <v>69</v>
      </c>
      <c r="U461">
        <v>11</v>
      </c>
      <c r="V461">
        <v>16</v>
      </c>
      <c r="W461" t="s">
        <v>70</v>
      </c>
      <c r="X461" t="s">
        <v>69</v>
      </c>
      <c r="Y461" t="s">
        <v>71</v>
      </c>
      <c r="Z461" t="s">
        <v>89</v>
      </c>
    </row>
    <row r="462" spans="1:26" x14ac:dyDescent="0.2">
      <c r="A462" t="s">
        <v>1086</v>
      </c>
      <c r="B462" t="s">
        <v>283</v>
      </c>
      <c r="C462" t="s">
        <v>108</v>
      </c>
      <c r="D462" t="s">
        <v>194</v>
      </c>
      <c r="E462" t="s">
        <v>296</v>
      </c>
      <c r="F462" t="s">
        <v>120</v>
      </c>
      <c r="G462" t="s">
        <v>65</v>
      </c>
      <c r="H462" t="s">
        <v>66</v>
      </c>
      <c r="I462" t="s">
        <v>67</v>
      </c>
      <c r="J462" s="3">
        <v>45283</v>
      </c>
      <c r="K462">
        <v>2</v>
      </c>
      <c r="L462">
        <v>32</v>
      </c>
      <c r="M462" s="4">
        <v>9300</v>
      </c>
      <c r="N462" s="4">
        <v>151276</v>
      </c>
      <c r="O462" t="s">
        <v>69</v>
      </c>
      <c r="P462" t="s">
        <v>69</v>
      </c>
      <c r="Q462">
        <v>2.74</v>
      </c>
      <c r="R462">
        <v>52</v>
      </c>
      <c r="S462">
        <v>18</v>
      </c>
      <c r="T462" t="s">
        <v>69</v>
      </c>
      <c r="U462">
        <v>5</v>
      </c>
      <c r="V462">
        <v>15</v>
      </c>
      <c r="W462" t="s">
        <v>69</v>
      </c>
      <c r="X462" t="s">
        <v>68</v>
      </c>
      <c r="Y462" t="s">
        <v>71</v>
      </c>
      <c r="Z462" t="s">
        <v>108</v>
      </c>
    </row>
    <row r="463" spans="1:26" x14ac:dyDescent="0.2">
      <c r="A463" t="s">
        <v>1087</v>
      </c>
      <c r="B463" t="s">
        <v>1088</v>
      </c>
      <c r="C463" t="s">
        <v>61</v>
      </c>
      <c r="D463" t="s">
        <v>62</v>
      </c>
      <c r="E463" t="s">
        <v>63</v>
      </c>
      <c r="F463" t="s">
        <v>64</v>
      </c>
      <c r="G463" t="s">
        <v>65</v>
      </c>
      <c r="H463" t="s">
        <v>66</v>
      </c>
      <c r="I463" t="s">
        <v>67</v>
      </c>
      <c r="J463" s="3">
        <v>43157</v>
      </c>
      <c r="K463">
        <v>7.9</v>
      </c>
      <c r="L463">
        <v>26</v>
      </c>
      <c r="M463" s="4">
        <v>6900</v>
      </c>
      <c r="N463" s="4">
        <v>105644</v>
      </c>
      <c r="O463" t="s">
        <v>68</v>
      </c>
      <c r="P463" t="s">
        <v>68</v>
      </c>
      <c r="Q463">
        <v>2.76</v>
      </c>
      <c r="R463">
        <v>60</v>
      </c>
      <c r="S463">
        <v>36</v>
      </c>
      <c r="T463" t="s">
        <v>69</v>
      </c>
      <c r="U463">
        <v>10</v>
      </c>
      <c r="V463">
        <v>31</v>
      </c>
      <c r="W463" t="s">
        <v>70</v>
      </c>
      <c r="X463" t="s">
        <v>68</v>
      </c>
      <c r="Y463" t="s">
        <v>86</v>
      </c>
      <c r="Z463" t="s">
        <v>61</v>
      </c>
    </row>
    <row r="464" spans="1:26" x14ac:dyDescent="0.2">
      <c r="A464" t="s">
        <v>1089</v>
      </c>
      <c r="B464" t="s">
        <v>147</v>
      </c>
      <c r="C464" t="s">
        <v>96</v>
      </c>
      <c r="D464" t="s">
        <v>234</v>
      </c>
      <c r="E464" t="s">
        <v>615</v>
      </c>
      <c r="F464" t="s">
        <v>84</v>
      </c>
      <c r="G464" t="s">
        <v>65</v>
      </c>
      <c r="H464" t="s">
        <v>66</v>
      </c>
      <c r="I464" t="s">
        <v>111</v>
      </c>
      <c r="J464" s="3">
        <v>44461</v>
      </c>
      <c r="K464">
        <v>4.3</v>
      </c>
      <c r="L464">
        <v>31</v>
      </c>
      <c r="M464" s="4">
        <v>21300</v>
      </c>
      <c r="N464" s="4">
        <v>303943</v>
      </c>
      <c r="O464" t="s">
        <v>69</v>
      </c>
      <c r="P464" t="s">
        <v>69</v>
      </c>
      <c r="Q464">
        <v>2.75</v>
      </c>
      <c r="R464">
        <v>56</v>
      </c>
      <c r="S464">
        <v>20</v>
      </c>
      <c r="T464" t="s">
        <v>69</v>
      </c>
      <c r="U464">
        <v>4</v>
      </c>
      <c r="V464">
        <v>17</v>
      </c>
      <c r="W464" t="s">
        <v>69</v>
      </c>
      <c r="X464" t="s">
        <v>68</v>
      </c>
      <c r="Y464" t="s">
        <v>71</v>
      </c>
      <c r="Z464" t="s">
        <v>96</v>
      </c>
    </row>
    <row r="465" spans="1:26" x14ac:dyDescent="0.2">
      <c r="A465" t="s">
        <v>1090</v>
      </c>
      <c r="B465" t="s">
        <v>377</v>
      </c>
      <c r="C465" t="s">
        <v>96</v>
      </c>
      <c r="D465" t="s">
        <v>97</v>
      </c>
      <c r="E465" t="s">
        <v>98</v>
      </c>
      <c r="F465" t="s">
        <v>77</v>
      </c>
      <c r="G465" t="s">
        <v>65</v>
      </c>
      <c r="H465" t="s">
        <v>78</v>
      </c>
      <c r="I465" t="s">
        <v>67</v>
      </c>
      <c r="J465" s="3">
        <v>41454</v>
      </c>
      <c r="K465">
        <v>12.5</v>
      </c>
      <c r="L465">
        <v>22</v>
      </c>
      <c r="M465" s="4">
        <v>12000</v>
      </c>
      <c r="N465" s="4">
        <v>173452</v>
      </c>
      <c r="O465" t="s">
        <v>68</v>
      </c>
      <c r="P465" t="s">
        <v>69</v>
      </c>
      <c r="Q465">
        <v>2.5499999999999998</v>
      </c>
      <c r="R465">
        <v>73</v>
      </c>
      <c r="S465">
        <v>8</v>
      </c>
      <c r="T465" t="s">
        <v>69</v>
      </c>
      <c r="U465">
        <v>1</v>
      </c>
      <c r="V465">
        <v>19</v>
      </c>
      <c r="W465" t="s">
        <v>70</v>
      </c>
      <c r="X465" t="s">
        <v>68</v>
      </c>
      <c r="Y465" t="s">
        <v>71</v>
      </c>
      <c r="Z465" t="s">
        <v>96</v>
      </c>
    </row>
    <row r="466" spans="1:26" x14ac:dyDescent="0.2">
      <c r="A466" t="s">
        <v>1091</v>
      </c>
      <c r="B466" t="s">
        <v>1092</v>
      </c>
      <c r="C466" t="s">
        <v>89</v>
      </c>
      <c r="D466" t="s">
        <v>154</v>
      </c>
      <c r="E466" t="s">
        <v>454</v>
      </c>
      <c r="F466" t="s">
        <v>92</v>
      </c>
      <c r="G466" t="s">
        <v>85</v>
      </c>
      <c r="H466" t="s">
        <v>66</v>
      </c>
      <c r="I466" t="s">
        <v>67</v>
      </c>
      <c r="J466" s="3">
        <v>43067</v>
      </c>
      <c r="K466">
        <v>8.1</v>
      </c>
      <c r="L466">
        <v>51</v>
      </c>
      <c r="M466" s="4">
        <v>5000</v>
      </c>
      <c r="N466" s="4">
        <v>74310</v>
      </c>
      <c r="O466" t="s">
        <v>68</v>
      </c>
      <c r="P466" t="s">
        <v>69</v>
      </c>
      <c r="Q466">
        <v>2.98</v>
      </c>
      <c r="R466">
        <v>55</v>
      </c>
      <c r="S466">
        <v>33</v>
      </c>
      <c r="T466" t="s">
        <v>69</v>
      </c>
      <c r="U466">
        <v>3</v>
      </c>
      <c r="V466">
        <v>48</v>
      </c>
      <c r="W466" t="s">
        <v>70</v>
      </c>
      <c r="X466" t="s">
        <v>68</v>
      </c>
      <c r="Y466" t="s">
        <v>86</v>
      </c>
      <c r="Z466" t="s">
        <v>89</v>
      </c>
    </row>
    <row r="467" spans="1:26" x14ac:dyDescent="0.2">
      <c r="A467" t="s">
        <v>1093</v>
      </c>
      <c r="B467" t="s">
        <v>500</v>
      </c>
      <c r="C467" t="s">
        <v>89</v>
      </c>
      <c r="D467" t="s">
        <v>154</v>
      </c>
      <c r="E467" t="s">
        <v>650</v>
      </c>
      <c r="F467" t="s">
        <v>77</v>
      </c>
      <c r="G467" t="s">
        <v>65</v>
      </c>
      <c r="H467" t="s">
        <v>66</v>
      </c>
      <c r="I467" t="s">
        <v>93</v>
      </c>
      <c r="J467" s="3">
        <v>42254</v>
      </c>
      <c r="K467">
        <v>10.3</v>
      </c>
      <c r="L467">
        <v>55</v>
      </c>
      <c r="M467" s="4">
        <v>8800</v>
      </c>
      <c r="N467" s="4">
        <v>136456</v>
      </c>
      <c r="O467" t="s">
        <v>68</v>
      </c>
      <c r="P467" t="s">
        <v>69</v>
      </c>
      <c r="Q467">
        <v>3.41</v>
      </c>
      <c r="R467">
        <v>57</v>
      </c>
      <c r="S467">
        <v>20</v>
      </c>
      <c r="T467" t="s">
        <v>69</v>
      </c>
      <c r="U467">
        <v>1</v>
      </c>
      <c r="V467">
        <v>44</v>
      </c>
      <c r="W467" t="s">
        <v>70</v>
      </c>
      <c r="X467" t="s">
        <v>68</v>
      </c>
      <c r="Y467" t="s">
        <v>86</v>
      </c>
      <c r="Z467" t="s">
        <v>89</v>
      </c>
    </row>
    <row r="468" spans="1:26" x14ac:dyDescent="0.2">
      <c r="A468" t="s">
        <v>1094</v>
      </c>
      <c r="B468" t="s">
        <v>850</v>
      </c>
      <c r="C468" t="s">
        <v>89</v>
      </c>
      <c r="D468" t="s">
        <v>154</v>
      </c>
      <c r="E468" t="s">
        <v>325</v>
      </c>
      <c r="F468" t="s">
        <v>64</v>
      </c>
      <c r="G468" t="s">
        <v>85</v>
      </c>
      <c r="H468" t="s">
        <v>66</v>
      </c>
      <c r="I468" t="s">
        <v>67</v>
      </c>
      <c r="J468" s="3">
        <v>41356</v>
      </c>
      <c r="K468">
        <v>12.8</v>
      </c>
      <c r="L468">
        <v>40</v>
      </c>
      <c r="M468" s="4">
        <v>7900</v>
      </c>
      <c r="N468" s="4">
        <v>114144</v>
      </c>
      <c r="O468" t="s">
        <v>68</v>
      </c>
      <c r="P468" t="s">
        <v>69</v>
      </c>
      <c r="Q468">
        <v>2.42</v>
      </c>
      <c r="R468">
        <v>59</v>
      </c>
      <c r="S468">
        <v>25</v>
      </c>
      <c r="T468" t="s">
        <v>69</v>
      </c>
      <c r="U468">
        <v>3</v>
      </c>
      <c r="V468">
        <v>55</v>
      </c>
      <c r="W468" t="s">
        <v>70</v>
      </c>
      <c r="X468" t="s">
        <v>68</v>
      </c>
      <c r="Y468" t="s">
        <v>86</v>
      </c>
      <c r="Z468" t="s">
        <v>89</v>
      </c>
    </row>
    <row r="469" spans="1:26" x14ac:dyDescent="0.2">
      <c r="A469" t="s">
        <v>1095</v>
      </c>
      <c r="B469" t="s">
        <v>716</v>
      </c>
      <c r="C469" t="s">
        <v>96</v>
      </c>
      <c r="D469" t="s">
        <v>129</v>
      </c>
      <c r="E469" t="s">
        <v>915</v>
      </c>
      <c r="F469" t="s">
        <v>136</v>
      </c>
      <c r="G469" t="s">
        <v>65</v>
      </c>
      <c r="H469" t="s">
        <v>66</v>
      </c>
      <c r="I469" t="s">
        <v>148</v>
      </c>
      <c r="J469" s="3">
        <v>41202</v>
      </c>
      <c r="K469">
        <v>13.2</v>
      </c>
      <c r="L469">
        <v>60</v>
      </c>
      <c r="M469" s="4">
        <v>13100</v>
      </c>
      <c r="N469" s="4">
        <v>200263</v>
      </c>
      <c r="O469" t="s">
        <v>68</v>
      </c>
      <c r="P469" t="s">
        <v>69</v>
      </c>
      <c r="Q469">
        <v>2.89</v>
      </c>
      <c r="R469">
        <v>58</v>
      </c>
      <c r="S469">
        <v>29</v>
      </c>
      <c r="T469" t="s">
        <v>69</v>
      </c>
      <c r="U469">
        <v>13</v>
      </c>
      <c r="V469">
        <v>52</v>
      </c>
      <c r="W469" t="s">
        <v>70</v>
      </c>
      <c r="X469" t="s">
        <v>68</v>
      </c>
      <c r="Y469" t="s">
        <v>86</v>
      </c>
      <c r="Z469" t="s">
        <v>96</v>
      </c>
    </row>
    <row r="470" spans="1:26" x14ac:dyDescent="0.2">
      <c r="A470" t="s">
        <v>1096</v>
      </c>
      <c r="B470" t="s">
        <v>920</v>
      </c>
      <c r="C470" t="s">
        <v>108</v>
      </c>
      <c r="D470" t="s">
        <v>194</v>
      </c>
      <c r="E470" t="s">
        <v>195</v>
      </c>
      <c r="F470" t="s">
        <v>64</v>
      </c>
      <c r="G470" t="s">
        <v>65</v>
      </c>
      <c r="H470" t="s">
        <v>66</v>
      </c>
      <c r="I470" t="s">
        <v>148</v>
      </c>
      <c r="J470" s="3">
        <v>45072</v>
      </c>
      <c r="K470">
        <v>2.6</v>
      </c>
      <c r="L470">
        <v>48</v>
      </c>
      <c r="M470" s="4">
        <v>6000</v>
      </c>
      <c r="N470" s="4">
        <v>93297</v>
      </c>
      <c r="O470" t="s">
        <v>68</v>
      </c>
      <c r="P470" t="s">
        <v>69</v>
      </c>
      <c r="Q470">
        <v>2.69</v>
      </c>
      <c r="R470">
        <v>75</v>
      </c>
      <c r="S470">
        <v>24</v>
      </c>
      <c r="T470" t="s">
        <v>69</v>
      </c>
      <c r="U470">
        <v>7</v>
      </c>
      <c r="V470">
        <v>22</v>
      </c>
      <c r="W470" t="s">
        <v>70</v>
      </c>
      <c r="X470" t="s">
        <v>68</v>
      </c>
      <c r="Y470" t="s">
        <v>71</v>
      </c>
      <c r="Z470" t="s">
        <v>108</v>
      </c>
    </row>
    <row r="471" spans="1:26" x14ac:dyDescent="0.2">
      <c r="A471" t="s">
        <v>1097</v>
      </c>
      <c r="B471" t="s">
        <v>619</v>
      </c>
      <c r="C471" t="s">
        <v>133</v>
      </c>
      <c r="D471" t="s">
        <v>15</v>
      </c>
      <c r="E471" t="s">
        <v>343</v>
      </c>
      <c r="F471" t="s">
        <v>120</v>
      </c>
      <c r="G471" t="s">
        <v>215</v>
      </c>
      <c r="H471" t="s">
        <v>78</v>
      </c>
      <c r="I471" t="s">
        <v>99</v>
      </c>
      <c r="J471" s="3">
        <v>43599</v>
      </c>
      <c r="K471">
        <v>6.6</v>
      </c>
      <c r="L471">
        <v>31</v>
      </c>
      <c r="M471" s="4">
        <v>8900</v>
      </c>
      <c r="N471" s="4">
        <v>144020</v>
      </c>
      <c r="O471" t="s">
        <v>68</v>
      </c>
      <c r="P471" t="s">
        <v>68</v>
      </c>
      <c r="Q471">
        <v>2.86</v>
      </c>
      <c r="R471">
        <v>70</v>
      </c>
      <c r="S471">
        <v>8</v>
      </c>
      <c r="T471" t="s">
        <v>69</v>
      </c>
      <c r="U471">
        <v>8</v>
      </c>
      <c r="V471">
        <v>0</v>
      </c>
      <c r="W471" t="s">
        <v>70</v>
      </c>
      <c r="X471" t="s">
        <v>68</v>
      </c>
      <c r="Y471" t="s">
        <v>71</v>
      </c>
      <c r="Z471" t="s">
        <v>133</v>
      </c>
    </row>
    <row r="472" spans="1:26" x14ac:dyDescent="0.2">
      <c r="A472" t="s">
        <v>1098</v>
      </c>
      <c r="B472" t="s">
        <v>692</v>
      </c>
      <c r="C472" t="s">
        <v>133</v>
      </c>
      <c r="D472" t="s">
        <v>15</v>
      </c>
      <c r="E472" t="s">
        <v>343</v>
      </c>
      <c r="F472" t="s">
        <v>120</v>
      </c>
      <c r="G472" t="s">
        <v>85</v>
      </c>
      <c r="H472" t="s">
        <v>78</v>
      </c>
      <c r="I472" t="s">
        <v>99</v>
      </c>
      <c r="J472" s="3">
        <v>44198</v>
      </c>
      <c r="K472">
        <v>5</v>
      </c>
      <c r="L472">
        <v>22</v>
      </c>
      <c r="M472" s="4">
        <v>8600</v>
      </c>
      <c r="N472" s="4">
        <v>126115</v>
      </c>
      <c r="O472" t="s">
        <v>68</v>
      </c>
      <c r="P472" t="s">
        <v>68</v>
      </c>
      <c r="Q472">
        <v>1.59</v>
      </c>
      <c r="R472">
        <v>53</v>
      </c>
      <c r="S472">
        <v>29</v>
      </c>
      <c r="T472" t="s">
        <v>69</v>
      </c>
      <c r="U472">
        <v>6</v>
      </c>
      <c r="V472">
        <v>4</v>
      </c>
      <c r="W472" t="s">
        <v>70</v>
      </c>
      <c r="X472" t="s">
        <v>68</v>
      </c>
      <c r="Y472" t="s">
        <v>71</v>
      </c>
      <c r="Z472" t="s">
        <v>133</v>
      </c>
    </row>
    <row r="473" spans="1:26" x14ac:dyDescent="0.2">
      <c r="A473" t="s">
        <v>1099</v>
      </c>
      <c r="B473" t="s">
        <v>169</v>
      </c>
      <c r="C473" t="s">
        <v>108</v>
      </c>
      <c r="D473" t="s">
        <v>222</v>
      </c>
      <c r="E473" t="s">
        <v>378</v>
      </c>
      <c r="F473" t="s">
        <v>77</v>
      </c>
      <c r="G473" t="s">
        <v>85</v>
      </c>
      <c r="H473" t="s">
        <v>66</v>
      </c>
      <c r="I473" t="s">
        <v>148</v>
      </c>
      <c r="J473" s="3">
        <v>42738</v>
      </c>
      <c r="K473">
        <v>9</v>
      </c>
      <c r="L473">
        <v>53</v>
      </c>
      <c r="M473" s="4">
        <v>12000</v>
      </c>
      <c r="N473" s="4">
        <v>192933</v>
      </c>
      <c r="O473" t="s">
        <v>69</v>
      </c>
      <c r="P473" t="s">
        <v>69</v>
      </c>
      <c r="Q473">
        <v>3.5</v>
      </c>
      <c r="R473">
        <v>63</v>
      </c>
      <c r="S473">
        <v>31</v>
      </c>
      <c r="T473" t="s">
        <v>68</v>
      </c>
      <c r="U473">
        <v>5</v>
      </c>
      <c r="V473">
        <v>49</v>
      </c>
      <c r="W473" t="s">
        <v>68</v>
      </c>
      <c r="X473" t="s">
        <v>69</v>
      </c>
      <c r="Y473" t="s">
        <v>86</v>
      </c>
      <c r="Z473" t="s">
        <v>108</v>
      </c>
    </row>
    <row r="474" spans="1:26" x14ac:dyDescent="0.2">
      <c r="A474" t="s">
        <v>1100</v>
      </c>
      <c r="B474" t="s">
        <v>740</v>
      </c>
      <c r="C474" t="s">
        <v>124</v>
      </c>
      <c r="D474" t="s">
        <v>243</v>
      </c>
      <c r="E474" t="s">
        <v>911</v>
      </c>
      <c r="F474" t="s">
        <v>84</v>
      </c>
      <c r="G474" t="s">
        <v>65</v>
      </c>
      <c r="H474" t="s">
        <v>66</v>
      </c>
      <c r="I474" t="s">
        <v>67</v>
      </c>
      <c r="J474" s="3">
        <v>40975</v>
      </c>
      <c r="K474">
        <v>13.8</v>
      </c>
      <c r="L474">
        <v>26</v>
      </c>
      <c r="M474" s="4">
        <v>15600</v>
      </c>
      <c r="N474" s="4">
        <v>221826</v>
      </c>
      <c r="O474" t="s">
        <v>69</v>
      </c>
      <c r="P474" t="s">
        <v>68</v>
      </c>
      <c r="Q474">
        <v>2.66</v>
      </c>
      <c r="R474">
        <v>49</v>
      </c>
      <c r="S474">
        <v>42</v>
      </c>
      <c r="T474" t="s">
        <v>69</v>
      </c>
      <c r="U474">
        <v>9</v>
      </c>
      <c r="V474">
        <v>0</v>
      </c>
      <c r="W474" t="s">
        <v>69</v>
      </c>
      <c r="X474" t="s">
        <v>68</v>
      </c>
      <c r="Y474" t="s">
        <v>71</v>
      </c>
      <c r="Z474" t="s">
        <v>124</v>
      </c>
    </row>
    <row r="475" spans="1:26" x14ac:dyDescent="0.2">
      <c r="A475" t="s">
        <v>1101</v>
      </c>
      <c r="B475" t="s">
        <v>161</v>
      </c>
      <c r="C475" t="s">
        <v>133</v>
      </c>
      <c r="D475" t="s">
        <v>213</v>
      </c>
      <c r="E475" t="s">
        <v>1102</v>
      </c>
      <c r="F475" t="s">
        <v>64</v>
      </c>
      <c r="G475" t="s">
        <v>85</v>
      </c>
      <c r="H475" t="s">
        <v>66</v>
      </c>
      <c r="I475" t="s">
        <v>93</v>
      </c>
      <c r="J475" s="3">
        <v>45551</v>
      </c>
      <c r="K475">
        <v>1.3</v>
      </c>
      <c r="L475">
        <v>46</v>
      </c>
      <c r="M475" s="4">
        <v>5400</v>
      </c>
      <c r="N475" s="4">
        <v>83769</v>
      </c>
      <c r="O475" t="s">
        <v>68</v>
      </c>
      <c r="P475" t="s">
        <v>69</v>
      </c>
      <c r="Q475">
        <v>2.48</v>
      </c>
      <c r="R475">
        <v>66</v>
      </c>
      <c r="S475">
        <v>49</v>
      </c>
      <c r="T475" t="s">
        <v>69</v>
      </c>
      <c r="U475">
        <v>6</v>
      </c>
      <c r="V475">
        <v>0</v>
      </c>
      <c r="W475" t="s">
        <v>70</v>
      </c>
      <c r="X475" t="s">
        <v>68</v>
      </c>
      <c r="Y475" t="s">
        <v>71</v>
      </c>
      <c r="Z475" t="s">
        <v>133</v>
      </c>
    </row>
    <row r="476" spans="1:26" x14ac:dyDescent="0.2">
      <c r="A476" t="s">
        <v>1103</v>
      </c>
      <c r="B476" t="s">
        <v>1038</v>
      </c>
      <c r="C476" t="s">
        <v>124</v>
      </c>
      <c r="D476" t="s">
        <v>125</v>
      </c>
      <c r="E476" t="s">
        <v>712</v>
      </c>
      <c r="F476" t="s">
        <v>136</v>
      </c>
      <c r="G476" t="s">
        <v>85</v>
      </c>
      <c r="H476" t="s">
        <v>66</v>
      </c>
      <c r="I476" t="s">
        <v>148</v>
      </c>
      <c r="J476" s="3">
        <v>41246</v>
      </c>
      <c r="K476">
        <v>13.1</v>
      </c>
      <c r="L476">
        <v>46</v>
      </c>
      <c r="M476" s="4">
        <v>12400</v>
      </c>
      <c r="N476" s="4">
        <v>197429</v>
      </c>
      <c r="O476" t="s">
        <v>68</v>
      </c>
      <c r="P476" t="s">
        <v>68</v>
      </c>
      <c r="Q476">
        <v>2.2999999999999998</v>
      </c>
      <c r="R476">
        <v>64</v>
      </c>
      <c r="S476">
        <v>29</v>
      </c>
      <c r="T476" t="s">
        <v>69</v>
      </c>
      <c r="U476">
        <v>0</v>
      </c>
      <c r="V476">
        <v>0</v>
      </c>
      <c r="W476" t="s">
        <v>70</v>
      </c>
      <c r="X476" t="s">
        <v>68</v>
      </c>
      <c r="Y476" t="s">
        <v>71</v>
      </c>
      <c r="Z476" t="s">
        <v>124</v>
      </c>
    </row>
    <row r="477" spans="1:26" x14ac:dyDescent="0.2">
      <c r="A477" t="s">
        <v>1104</v>
      </c>
      <c r="B477" t="s">
        <v>522</v>
      </c>
      <c r="C477" t="s">
        <v>96</v>
      </c>
      <c r="D477" t="s">
        <v>129</v>
      </c>
      <c r="E477" t="s">
        <v>130</v>
      </c>
      <c r="F477" t="s">
        <v>120</v>
      </c>
      <c r="G477" t="s">
        <v>65</v>
      </c>
      <c r="H477" t="s">
        <v>66</v>
      </c>
      <c r="I477" t="s">
        <v>99</v>
      </c>
      <c r="J477" s="3">
        <v>41003</v>
      </c>
      <c r="K477">
        <v>13.8</v>
      </c>
      <c r="L477">
        <v>47</v>
      </c>
      <c r="M477" s="4">
        <v>9100</v>
      </c>
      <c r="N477" s="4">
        <v>133880</v>
      </c>
      <c r="O477" t="s">
        <v>68</v>
      </c>
      <c r="P477" t="s">
        <v>69</v>
      </c>
      <c r="Q477">
        <v>3.14</v>
      </c>
      <c r="R477">
        <v>75</v>
      </c>
      <c r="S477">
        <v>19</v>
      </c>
      <c r="T477" t="s">
        <v>69</v>
      </c>
      <c r="U477">
        <v>11</v>
      </c>
      <c r="V477">
        <v>38</v>
      </c>
      <c r="W477" t="s">
        <v>70</v>
      </c>
      <c r="X477" t="s">
        <v>68</v>
      </c>
      <c r="Y477" t="s">
        <v>71</v>
      </c>
      <c r="Z477" t="s">
        <v>96</v>
      </c>
    </row>
    <row r="478" spans="1:26" x14ac:dyDescent="0.2">
      <c r="A478" t="s">
        <v>1105</v>
      </c>
      <c r="B478" t="s">
        <v>1013</v>
      </c>
      <c r="C478" t="s">
        <v>61</v>
      </c>
      <c r="D478" t="s">
        <v>62</v>
      </c>
      <c r="E478" t="s">
        <v>702</v>
      </c>
      <c r="F478" t="s">
        <v>120</v>
      </c>
      <c r="G478" t="s">
        <v>65</v>
      </c>
      <c r="H478" t="s">
        <v>78</v>
      </c>
      <c r="I478" t="s">
        <v>67</v>
      </c>
      <c r="J478" s="3">
        <v>44388</v>
      </c>
      <c r="K478">
        <v>4.5</v>
      </c>
      <c r="L478">
        <v>36</v>
      </c>
      <c r="M478" s="4">
        <v>8100</v>
      </c>
      <c r="N478" s="4">
        <v>132211</v>
      </c>
      <c r="O478" t="s">
        <v>68</v>
      </c>
      <c r="P478" t="s">
        <v>68</v>
      </c>
      <c r="Q478">
        <v>3.73</v>
      </c>
      <c r="R478">
        <v>64</v>
      </c>
      <c r="S478">
        <v>30</v>
      </c>
      <c r="T478" t="s">
        <v>69</v>
      </c>
      <c r="U478">
        <v>11</v>
      </c>
      <c r="V478">
        <v>2</v>
      </c>
      <c r="W478" t="s">
        <v>70</v>
      </c>
      <c r="X478" t="s">
        <v>69</v>
      </c>
      <c r="Y478" t="s">
        <v>71</v>
      </c>
      <c r="Z478" t="s">
        <v>61</v>
      </c>
    </row>
    <row r="479" spans="1:26" x14ac:dyDescent="0.2">
      <c r="A479" t="s">
        <v>1106</v>
      </c>
      <c r="B479" t="s">
        <v>1063</v>
      </c>
      <c r="C479" t="s">
        <v>89</v>
      </c>
      <c r="D479" t="s">
        <v>239</v>
      </c>
      <c r="E479" t="s">
        <v>261</v>
      </c>
      <c r="F479" t="s">
        <v>64</v>
      </c>
      <c r="G479" t="s">
        <v>65</v>
      </c>
      <c r="H479" t="s">
        <v>78</v>
      </c>
      <c r="I479" t="s">
        <v>99</v>
      </c>
      <c r="J479" s="3">
        <v>44092</v>
      </c>
      <c r="K479">
        <v>5.3</v>
      </c>
      <c r="L479">
        <v>34</v>
      </c>
      <c r="M479" s="4">
        <v>5300</v>
      </c>
      <c r="N479" s="4">
        <v>75573</v>
      </c>
      <c r="O479" t="s">
        <v>68</v>
      </c>
      <c r="P479" t="s">
        <v>69</v>
      </c>
      <c r="Q479">
        <v>2.44</v>
      </c>
      <c r="R479">
        <v>74</v>
      </c>
      <c r="S479">
        <v>5</v>
      </c>
      <c r="T479" t="s">
        <v>68</v>
      </c>
      <c r="U479">
        <v>7</v>
      </c>
      <c r="V479">
        <v>58</v>
      </c>
      <c r="W479" t="s">
        <v>70</v>
      </c>
      <c r="X479" t="s">
        <v>68</v>
      </c>
      <c r="Y479" t="s">
        <v>86</v>
      </c>
      <c r="Z479" t="s">
        <v>89</v>
      </c>
    </row>
    <row r="480" spans="1:26" x14ac:dyDescent="0.2">
      <c r="A480" t="s">
        <v>1107</v>
      </c>
      <c r="B480" t="s">
        <v>1108</v>
      </c>
      <c r="C480" t="s">
        <v>74</v>
      </c>
      <c r="D480" t="s">
        <v>139</v>
      </c>
      <c r="E480" t="s">
        <v>539</v>
      </c>
      <c r="F480" t="s">
        <v>84</v>
      </c>
      <c r="G480" t="s">
        <v>85</v>
      </c>
      <c r="H480" t="s">
        <v>66</v>
      </c>
      <c r="I480" t="s">
        <v>67</v>
      </c>
      <c r="J480" s="3">
        <v>44227</v>
      </c>
      <c r="K480">
        <v>4.9000000000000004</v>
      </c>
      <c r="L480">
        <v>22</v>
      </c>
      <c r="M480" s="4">
        <v>21400</v>
      </c>
      <c r="N480" s="4">
        <v>315837</v>
      </c>
      <c r="O480" t="s">
        <v>69</v>
      </c>
      <c r="P480" t="s">
        <v>68</v>
      </c>
      <c r="Q480">
        <v>3.34</v>
      </c>
      <c r="R480">
        <v>73</v>
      </c>
      <c r="S480">
        <v>28</v>
      </c>
      <c r="T480" t="s">
        <v>69</v>
      </c>
      <c r="U480">
        <v>1</v>
      </c>
      <c r="V480">
        <v>38</v>
      </c>
      <c r="W480" t="s">
        <v>69</v>
      </c>
      <c r="X480" t="s">
        <v>68</v>
      </c>
      <c r="Y480" t="s">
        <v>71</v>
      </c>
      <c r="Z480" t="s">
        <v>74</v>
      </c>
    </row>
    <row r="481" spans="1:26" x14ac:dyDescent="0.2">
      <c r="A481" t="s">
        <v>1109</v>
      </c>
      <c r="B481" t="s">
        <v>720</v>
      </c>
      <c r="C481" t="s">
        <v>124</v>
      </c>
      <c r="D481" t="s">
        <v>125</v>
      </c>
      <c r="E481" t="s">
        <v>1110</v>
      </c>
      <c r="F481" t="s">
        <v>84</v>
      </c>
      <c r="G481" t="s">
        <v>65</v>
      </c>
      <c r="H481" t="s">
        <v>78</v>
      </c>
      <c r="I481" t="s">
        <v>67</v>
      </c>
      <c r="J481" s="3">
        <v>43894</v>
      </c>
      <c r="K481">
        <v>5.8</v>
      </c>
      <c r="L481">
        <v>32</v>
      </c>
      <c r="M481" s="4">
        <v>21500</v>
      </c>
      <c r="N481" s="4">
        <v>332548</v>
      </c>
      <c r="O481" t="s">
        <v>69</v>
      </c>
      <c r="P481" t="s">
        <v>68</v>
      </c>
      <c r="Q481">
        <v>3.01</v>
      </c>
      <c r="R481">
        <v>78</v>
      </c>
      <c r="S481">
        <v>25</v>
      </c>
      <c r="T481" t="s">
        <v>69</v>
      </c>
      <c r="U481">
        <v>4</v>
      </c>
      <c r="V481">
        <v>10</v>
      </c>
      <c r="W481" t="s">
        <v>68</v>
      </c>
      <c r="X481" t="s">
        <v>68</v>
      </c>
      <c r="Y481" t="s">
        <v>71</v>
      </c>
      <c r="Z481" t="s">
        <v>124</v>
      </c>
    </row>
    <row r="482" spans="1:26" x14ac:dyDescent="0.2">
      <c r="A482" t="s">
        <v>1111</v>
      </c>
      <c r="B482" t="s">
        <v>910</v>
      </c>
      <c r="C482" t="s">
        <v>61</v>
      </c>
      <c r="D482" t="s">
        <v>177</v>
      </c>
      <c r="E482" t="s">
        <v>925</v>
      </c>
      <c r="F482" t="s">
        <v>64</v>
      </c>
      <c r="G482" t="s">
        <v>65</v>
      </c>
      <c r="H482" t="s">
        <v>66</v>
      </c>
      <c r="I482" t="s">
        <v>67</v>
      </c>
      <c r="J482" s="3">
        <v>42307</v>
      </c>
      <c r="K482">
        <v>10.199999999999999</v>
      </c>
      <c r="L482">
        <v>37</v>
      </c>
      <c r="M482" s="4">
        <v>6500</v>
      </c>
      <c r="N482" s="4">
        <v>94558</v>
      </c>
      <c r="O482" t="s">
        <v>69</v>
      </c>
      <c r="P482" t="s">
        <v>68</v>
      </c>
      <c r="Q482">
        <v>2.99</v>
      </c>
      <c r="R482">
        <v>68</v>
      </c>
      <c r="S482">
        <v>17</v>
      </c>
      <c r="T482" t="s">
        <v>69</v>
      </c>
      <c r="U482">
        <v>4</v>
      </c>
      <c r="V482">
        <v>18</v>
      </c>
      <c r="W482" t="s">
        <v>68</v>
      </c>
      <c r="X482" t="s">
        <v>68</v>
      </c>
      <c r="Y482" t="s">
        <v>71</v>
      </c>
      <c r="Z482" t="s">
        <v>61</v>
      </c>
    </row>
    <row r="483" spans="1:26" x14ac:dyDescent="0.2">
      <c r="A483" t="s">
        <v>1112</v>
      </c>
      <c r="B483" t="s">
        <v>206</v>
      </c>
      <c r="C483" t="s">
        <v>74</v>
      </c>
      <c r="D483" t="s">
        <v>75</v>
      </c>
      <c r="E483" t="s">
        <v>307</v>
      </c>
      <c r="F483" t="s">
        <v>120</v>
      </c>
      <c r="G483" t="s">
        <v>65</v>
      </c>
      <c r="H483" t="s">
        <v>78</v>
      </c>
      <c r="I483" t="s">
        <v>111</v>
      </c>
      <c r="J483" s="3">
        <v>42411</v>
      </c>
      <c r="K483">
        <v>9.9</v>
      </c>
      <c r="L483">
        <v>32</v>
      </c>
      <c r="M483" s="4">
        <v>8900</v>
      </c>
      <c r="N483" s="4">
        <v>137643</v>
      </c>
      <c r="O483" t="s">
        <v>68</v>
      </c>
      <c r="P483" t="s">
        <v>68</v>
      </c>
      <c r="Q483">
        <v>2.88</v>
      </c>
      <c r="R483">
        <v>56</v>
      </c>
      <c r="S483">
        <v>25</v>
      </c>
      <c r="T483" t="s">
        <v>69</v>
      </c>
      <c r="U483">
        <v>8</v>
      </c>
      <c r="V483">
        <v>54</v>
      </c>
      <c r="W483" t="s">
        <v>70</v>
      </c>
      <c r="X483" t="s">
        <v>68</v>
      </c>
      <c r="Y483" t="s">
        <v>86</v>
      </c>
      <c r="Z483" t="s">
        <v>74</v>
      </c>
    </row>
    <row r="484" spans="1:26" x14ac:dyDescent="0.2">
      <c r="A484" t="s">
        <v>1113</v>
      </c>
      <c r="B484" t="s">
        <v>476</v>
      </c>
      <c r="C484" t="s">
        <v>108</v>
      </c>
      <c r="D484" t="s">
        <v>109</v>
      </c>
      <c r="E484" t="s">
        <v>559</v>
      </c>
      <c r="F484" t="s">
        <v>136</v>
      </c>
      <c r="G484" t="s">
        <v>65</v>
      </c>
      <c r="H484" t="s">
        <v>66</v>
      </c>
      <c r="I484" t="s">
        <v>148</v>
      </c>
      <c r="J484" s="3">
        <v>41527</v>
      </c>
      <c r="K484">
        <v>12.3</v>
      </c>
      <c r="L484">
        <v>58</v>
      </c>
      <c r="M484" s="4">
        <v>13000</v>
      </c>
      <c r="N484" s="4">
        <v>206553</v>
      </c>
      <c r="O484" t="s">
        <v>68</v>
      </c>
      <c r="P484" t="s">
        <v>69</v>
      </c>
      <c r="Q484">
        <v>2.66</v>
      </c>
      <c r="R484">
        <v>66</v>
      </c>
      <c r="S484">
        <v>21</v>
      </c>
      <c r="T484" t="s">
        <v>69</v>
      </c>
      <c r="U484">
        <v>5</v>
      </c>
      <c r="V484">
        <v>0</v>
      </c>
      <c r="W484" t="s">
        <v>70</v>
      </c>
      <c r="X484" t="s">
        <v>68</v>
      </c>
      <c r="Y484" t="s">
        <v>71</v>
      </c>
      <c r="Z484" t="s">
        <v>108</v>
      </c>
    </row>
    <row r="485" spans="1:26" x14ac:dyDescent="0.2">
      <c r="A485" t="s">
        <v>1114</v>
      </c>
      <c r="B485" t="s">
        <v>278</v>
      </c>
      <c r="C485" t="s">
        <v>96</v>
      </c>
      <c r="D485" t="s">
        <v>129</v>
      </c>
      <c r="E485" t="s">
        <v>834</v>
      </c>
      <c r="F485" t="s">
        <v>84</v>
      </c>
      <c r="G485" t="s">
        <v>65</v>
      </c>
      <c r="H485" t="s">
        <v>78</v>
      </c>
      <c r="I485" t="s">
        <v>99</v>
      </c>
      <c r="J485" s="3">
        <v>41980</v>
      </c>
      <c r="K485">
        <v>11.1</v>
      </c>
      <c r="L485">
        <v>33</v>
      </c>
      <c r="M485" s="4">
        <v>19600</v>
      </c>
      <c r="N485" s="4">
        <v>278920</v>
      </c>
      <c r="O485" t="s">
        <v>69</v>
      </c>
      <c r="P485" t="s">
        <v>69</v>
      </c>
      <c r="Q485">
        <v>3.01</v>
      </c>
      <c r="R485">
        <v>71</v>
      </c>
      <c r="S485">
        <v>36</v>
      </c>
      <c r="T485" t="s">
        <v>69</v>
      </c>
      <c r="U485">
        <v>9</v>
      </c>
      <c r="V485">
        <v>0</v>
      </c>
      <c r="W485" t="s">
        <v>69</v>
      </c>
      <c r="X485" t="s">
        <v>68</v>
      </c>
      <c r="Y485" t="s">
        <v>71</v>
      </c>
      <c r="Z485" t="s">
        <v>96</v>
      </c>
    </row>
    <row r="486" spans="1:26" x14ac:dyDescent="0.2">
      <c r="A486" t="s">
        <v>1115</v>
      </c>
      <c r="B486" t="s">
        <v>594</v>
      </c>
      <c r="C486" t="s">
        <v>124</v>
      </c>
      <c r="D486" t="s">
        <v>125</v>
      </c>
      <c r="E486" t="s">
        <v>126</v>
      </c>
      <c r="F486" t="s">
        <v>64</v>
      </c>
      <c r="G486" t="s">
        <v>65</v>
      </c>
      <c r="H486" t="s">
        <v>66</v>
      </c>
      <c r="I486" t="s">
        <v>99</v>
      </c>
      <c r="J486" s="3">
        <v>41871</v>
      </c>
      <c r="K486">
        <v>11.4</v>
      </c>
      <c r="L486">
        <v>39</v>
      </c>
      <c r="M486" s="4">
        <v>5300</v>
      </c>
      <c r="N486" s="4">
        <v>75690</v>
      </c>
      <c r="O486" t="s">
        <v>68</v>
      </c>
      <c r="P486" t="s">
        <v>68</v>
      </c>
      <c r="Q486">
        <v>3.4</v>
      </c>
      <c r="R486">
        <v>60</v>
      </c>
      <c r="S486">
        <v>16</v>
      </c>
      <c r="T486" t="s">
        <v>69</v>
      </c>
      <c r="U486">
        <v>1</v>
      </c>
      <c r="V486">
        <v>10</v>
      </c>
      <c r="W486" t="s">
        <v>70</v>
      </c>
      <c r="X486" t="s">
        <v>68</v>
      </c>
      <c r="Y486" t="s">
        <v>71</v>
      </c>
      <c r="Z486" t="s">
        <v>124</v>
      </c>
    </row>
    <row r="487" spans="1:26" x14ac:dyDescent="0.2">
      <c r="A487" t="s">
        <v>1116</v>
      </c>
      <c r="B487" t="s">
        <v>1117</v>
      </c>
      <c r="C487" t="s">
        <v>143</v>
      </c>
      <c r="D487" t="s">
        <v>158</v>
      </c>
      <c r="E487" t="s">
        <v>1118</v>
      </c>
      <c r="F487" t="s">
        <v>191</v>
      </c>
      <c r="G487" t="s">
        <v>65</v>
      </c>
      <c r="H487" t="s">
        <v>66</v>
      </c>
      <c r="I487" t="s">
        <v>93</v>
      </c>
      <c r="J487" s="3">
        <v>42258</v>
      </c>
      <c r="K487">
        <v>10.3</v>
      </c>
      <c r="L487">
        <v>38</v>
      </c>
      <c r="M487" s="4">
        <v>32700</v>
      </c>
      <c r="N487" s="4">
        <v>487860</v>
      </c>
      <c r="O487" t="s">
        <v>69</v>
      </c>
      <c r="P487" t="s">
        <v>69</v>
      </c>
      <c r="Q487">
        <v>3.26</v>
      </c>
      <c r="R487">
        <v>72</v>
      </c>
      <c r="S487">
        <v>32</v>
      </c>
      <c r="T487" t="s">
        <v>69</v>
      </c>
      <c r="U487">
        <v>0</v>
      </c>
      <c r="V487">
        <v>0</v>
      </c>
      <c r="W487" t="s">
        <v>68</v>
      </c>
      <c r="X487" t="s">
        <v>68</v>
      </c>
      <c r="Y487" t="s">
        <v>71</v>
      </c>
      <c r="Z487" t="s">
        <v>143</v>
      </c>
    </row>
    <row r="488" spans="1:26" x14ac:dyDescent="0.2">
      <c r="A488" t="s">
        <v>1119</v>
      </c>
      <c r="B488" t="s">
        <v>255</v>
      </c>
      <c r="C488" t="s">
        <v>124</v>
      </c>
      <c r="D488" t="s">
        <v>243</v>
      </c>
      <c r="E488" t="s">
        <v>1120</v>
      </c>
      <c r="F488" t="s">
        <v>136</v>
      </c>
      <c r="G488" t="s">
        <v>65</v>
      </c>
      <c r="H488" t="s">
        <v>78</v>
      </c>
      <c r="I488" t="s">
        <v>111</v>
      </c>
      <c r="J488" s="3">
        <v>41508</v>
      </c>
      <c r="K488">
        <v>12.4</v>
      </c>
      <c r="L488">
        <v>24</v>
      </c>
      <c r="M488" s="4">
        <v>9500</v>
      </c>
      <c r="N488" s="4">
        <v>145118</v>
      </c>
      <c r="O488" t="s">
        <v>68</v>
      </c>
      <c r="P488" t="s">
        <v>69</v>
      </c>
      <c r="Q488">
        <v>3.93</v>
      </c>
      <c r="R488">
        <v>88</v>
      </c>
      <c r="S488">
        <v>9</v>
      </c>
      <c r="T488" t="s">
        <v>68</v>
      </c>
      <c r="U488">
        <v>0</v>
      </c>
      <c r="V488">
        <v>0</v>
      </c>
      <c r="W488" t="s">
        <v>70</v>
      </c>
      <c r="X488" t="s">
        <v>69</v>
      </c>
      <c r="Y488" t="s">
        <v>71</v>
      </c>
      <c r="Z488" t="s">
        <v>124</v>
      </c>
    </row>
    <row r="489" spans="1:26" x14ac:dyDescent="0.2">
      <c r="A489" t="s">
        <v>1121</v>
      </c>
      <c r="B489" t="s">
        <v>538</v>
      </c>
      <c r="C489" t="s">
        <v>12</v>
      </c>
      <c r="D489" t="s">
        <v>82</v>
      </c>
      <c r="E489" t="s">
        <v>1039</v>
      </c>
      <c r="F489" t="s">
        <v>64</v>
      </c>
      <c r="G489" t="s">
        <v>65</v>
      </c>
      <c r="H489" t="s">
        <v>78</v>
      </c>
      <c r="I489" t="s">
        <v>67</v>
      </c>
      <c r="J489" s="3">
        <v>43340</v>
      </c>
      <c r="K489">
        <v>7.4</v>
      </c>
      <c r="L489">
        <v>26</v>
      </c>
      <c r="M489" s="4">
        <v>6300</v>
      </c>
      <c r="N489" s="4">
        <v>98460</v>
      </c>
      <c r="O489" t="s">
        <v>69</v>
      </c>
      <c r="P489" t="s">
        <v>68</v>
      </c>
      <c r="Q489">
        <v>2.71</v>
      </c>
      <c r="R489">
        <v>47</v>
      </c>
      <c r="S489">
        <v>44</v>
      </c>
      <c r="T489" t="s">
        <v>69</v>
      </c>
      <c r="U489">
        <v>6</v>
      </c>
      <c r="V489">
        <v>9</v>
      </c>
      <c r="W489" t="s">
        <v>68</v>
      </c>
      <c r="X489" t="s">
        <v>68</v>
      </c>
      <c r="Y489" t="s">
        <v>86</v>
      </c>
      <c r="Z489" t="s">
        <v>12</v>
      </c>
    </row>
    <row r="490" spans="1:26" x14ac:dyDescent="0.2">
      <c r="A490" t="s">
        <v>1122</v>
      </c>
      <c r="B490" t="s">
        <v>1123</v>
      </c>
      <c r="C490" t="s">
        <v>102</v>
      </c>
      <c r="D490" t="s">
        <v>103</v>
      </c>
      <c r="E490" t="s">
        <v>369</v>
      </c>
      <c r="F490" t="s">
        <v>120</v>
      </c>
      <c r="G490" t="s">
        <v>65</v>
      </c>
      <c r="H490" t="s">
        <v>66</v>
      </c>
      <c r="I490" t="s">
        <v>93</v>
      </c>
      <c r="J490" s="3">
        <v>45636</v>
      </c>
      <c r="K490">
        <v>1.1000000000000001</v>
      </c>
      <c r="L490">
        <v>48</v>
      </c>
      <c r="M490" s="4">
        <v>9200</v>
      </c>
      <c r="N490" s="4">
        <v>144222</v>
      </c>
      <c r="O490" t="s">
        <v>68</v>
      </c>
      <c r="P490" t="s">
        <v>69</v>
      </c>
      <c r="Q490">
        <v>2.76</v>
      </c>
      <c r="R490">
        <v>54</v>
      </c>
      <c r="S490">
        <v>25</v>
      </c>
      <c r="T490" t="s">
        <v>69</v>
      </c>
      <c r="U490">
        <v>2</v>
      </c>
      <c r="V490">
        <v>14</v>
      </c>
      <c r="W490" t="s">
        <v>70</v>
      </c>
      <c r="X490" t="s">
        <v>68</v>
      </c>
      <c r="Y490" t="s">
        <v>71</v>
      </c>
      <c r="Z490" t="s">
        <v>102</v>
      </c>
    </row>
    <row r="491" spans="1:26" x14ac:dyDescent="0.2">
      <c r="A491" t="s">
        <v>1124</v>
      </c>
      <c r="B491" t="s">
        <v>1125</v>
      </c>
      <c r="C491" t="s">
        <v>108</v>
      </c>
      <c r="D491" t="s">
        <v>222</v>
      </c>
      <c r="E491" t="s">
        <v>378</v>
      </c>
      <c r="F491" t="s">
        <v>77</v>
      </c>
      <c r="G491" t="s">
        <v>65</v>
      </c>
      <c r="H491" t="s">
        <v>66</v>
      </c>
      <c r="I491" t="s">
        <v>79</v>
      </c>
      <c r="J491" s="3">
        <v>45626</v>
      </c>
      <c r="K491">
        <v>1.1000000000000001</v>
      </c>
      <c r="L491">
        <v>23</v>
      </c>
      <c r="M491" s="4">
        <v>10800</v>
      </c>
      <c r="N491" s="4">
        <v>164866</v>
      </c>
      <c r="O491" t="s">
        <v>68</v>
      </c>
      <c r="P491" t="s">
        <v>69</v>
      </c>
      <c r="Q491">
        <v>2.4700000000000002</v>
      </c>
      <c r="R491">
        <v>68</v>
      </c>
      <c r="S491">
        <v>43</v>
      </c>
      <c r="T491" t="s">
        <v>69</v>
      </c>
      <c r="U491">
        <v>8</v>
      </c>
      <c r="V491">
        <v>29</v>
      </c>
      <c r="W491" t="s">
        <v>70</v>
      </c>
      <c r="X491" t="s">
        <v>68</v>
      </c>
      <c r="Y491" t="s">
        <v>71</v>
      </c>
      <c r="Z491" t="s">
        <v>108</v>
      </c>
    </row>
    <row r="492" spans="1:26" x14ac:dyDescent="0.2">
      <c r="A492" t="s">
        <v>1126</v>
      </c>
      <c r="B492" t="s">
        <v>193</v>
      </c>
      <c r="C492" t="s">
        <v>61</v>
      </c>
      <c r="D492" t="s">
        <v>177</v>
      </c>
      <c r="E492" t="s">
        <v>1127</v>
      </c>
      <c r="F492" t="s">
        <v>84</v>
      </c>
      <c r="G492" t="s">
        <v>65</v>
      </c>
      <c r="H492" t="s">
        <v>78</v>
      </c>
      <c r="I492" t="s">
        <v>67</v>
      </c>
      <c r="J492" s="3">
        <v>41994</v>
      </c>
      <c r="K492">
        <v>11</v>
      </c>
      <c r="L492">
        <v>46</v>
      </c>
      <c r="M492" s="4">
        <v>22300</v>
      </c>
      <c r="N492" s="4">
        <v>345556</v>
      </c>
      <c r="O492" t="s">
        <v>69</v>
      </c>
      <c r="P492" t="s">
        <v>69</v>
      </c>
      <c r="Q492">
        <v>3.31</v>
      </c>
      <c r="R492">
        <v>83</v>
      </c>
      <c r="S492">
        <v>18</v>
      </c>
      <c r="T492" t="s">
        <v>68</v>
      </c>
      <c r="U492">
        <v>9</v>
      </c>
      <c r="V492">
        <v>0</v>
      </c>
      <c r="W492" t="s">
        <v>68</v>
      </c>
      <c r="X492" t="s">
        <v>68</v>
      </c>
      <c r="Y492" t="s">
        <v>71</v>
      </c>
      <c r="Z492" t="s">
        <v>61</v>
      </c>
    </row>
    <row r="493" spans="1:26" x14ac:dyDescent="0.2">
      <c r="A493" t="s">
        <v>1128</v>
      </c>
      <c r="B493" t="s">
        <v>572</v>
      </c>
      <c r="C493" t="s">
        <v>102</v>
      </c>
      <c r="D493" t="s">
        <v>339</v>
      </c>
      <c r="E493" t="s">
        <v>472</v>
      </c>
      <c r="F493" t="s">
        <v>64</v>
      </c>
      <c r="G493" t="s">
        <v>65</v>
      </c>
      <c r="H493" t="s">
        <v>78</v>
      </c>
      <c r="I493" t="s">
        <v>121</v>
      </c>
      <c r="J493" s="3">
        <v>44709</v>
      </c>
      <c r="K493">
        <v>3.6</v>
      </c>
      <c r="L493">
        <v>54</v>
      </c>
      <c r="M493" s="4">
        <v>7800</v>
      </c>
      <c r="N493" s="4">
        <v>115041</v>
      </c>
      <c r="O493" t="s">
        <v>68</v>
      </c>
      <c r="P493" t="s">
        <v>69</v>
      </c>
      <c r="Q493">
        <v>3.37</v>
      </c>
      <c r="R493">
        <v>65</v>
      </c>
      <c r="S493">
        <v>21</v>
      </c>
      <c r="T493" t="s">
        <v>69</v>
      </c>
      <c r="U493">
        <v>4</v>
      </c>
      <c r="V493">
        <v>12</v>
      </c>
      <c r="W493" t="s">
        <v>70</v>
      </c>
      <c r="X493" t="s">
        <v>68</v>
      </c>
      <c r="Y493" t="s">
        <v>71</v>
      </c>
      <c r="Z493" t="s">
        <v>102</v>
      </c>
    </row>
    <row r="494" spans="1:26" x14ac:dyDescent="0.2">
      <c r="A494" t="s">
        <v>1129</v>
      </c>
      <c r="B494" t="s">
        <v>357</v>
      </c>
      <c r="C494" t="s">
        <v>74</v>
      </c>
      <c r="D494" t="s">
        <v>139</v>
      </c>
      <c r="E494" t="s">
        <v>1130</v>
      </c>
      <c r="F494" t="s">
        <v>92</v>
      </c>
      <c r="G494" t="s">
        <v>65</v>
      </c>
      <c r="H494" t="s">
        <v>78</v>
      </c>
      <c r="I494" t="s">
        <v>111</v>
      </c>
      <c r="J494" s="3">
        <v>44828</v>
      </c>
      <c r="K494">
        <v>3.3</v>
      </c>
      <c r="L494">
        <v>27</v>
      </c>
      <c r="M494" s="4">
        <v>5500</v>
      </c>
      <c r="N494" s="4">
        <v>83587</v>
      </c>
      <c r="O494" t="s">
        <v>68</v>
      </c>
      <c r="P494" t="s">
        <v>68</v>
      </c>
      <c r="Q494">
        <v>3.37</v>
      </c>
      <c r="R494">
        <v>80</v>
      </c>
      <c r="S494">
        <v>29</v>
      </c>
      <c r="T494" t="s">
        <v>69</v>
      </c>
      <c r="U494">
        <v>8</v>
      </c>
      <c r="V494">
        <v>47</v>
      </c>
      <c r="W494" t="s">
        <v>70</v>
      </c>
      <c r="X494" t="s">
        <v>68</v>
      </c>
      <c r="Y494" t="s">
        <v>71</v>
      </c>
      <c r="Z494" t="s">
        <v>74</v>
      </c>
    </row>
    <row r="495" spans="1:26" x14ac:dyDescent="0.2">
      <c r="A495" t="s">
        <v>1131</v>
      </c>
      <c r="B495" t="s">
        <v>1132</v>
      </c>
      <c r="C495" t="s">
        <v>61</v>
      </c>
      <c r="D495" t="s">
        <v>604</v>
      </c>
      <c r="E495" t="s">
        <v>836</v>
      </c>
      <c r="F495" t="s">
        <v>174</v>
      </c>
      <c r="G495" t="s">
        <v>65</v>
      </c>
      <c r="H495" t="s">
        <v>78</v>
      </c>
      <c r="I495" t="s">
        <v>67</v>
      </c>
      <c r="J495" s="3">
        <v>42816</v>
      </c>
      <c r="K495">
        <v>8.8000000000000007</v>
      </c>
      <c r="L495">
        <v>22</v>
      </c>
      <c r="M495" s="4">
        <v>23700</v>
      </c>
      <c r="N495" s="4">
        <v>378638</v>
      </c>
      <c r="O495" t="s">
        <v>69</v>
      </c>
      <c r="P495" t="s">
        <v>68</v>
      </c>
      <c r="Q495">
        <v>3.09</v>
      </c>
      <c r="R495">
        <v>73</v>
      </c>
      <c r="S495">
        <v>43</v>
      </c>
      <c r="T495" t="s">
        <v>69</v>
      </c>
      <c r="U495">
        <v>1</v>
      </c>
      <c r="V495">
        <v>21</v>
      </c>
      <c r="W495" t="s">
        <v>69</v>
      </c>
      <c r="X495" t="s">
        <v>68</v>
      </c>
      <c r="Y495" t="s">
        <v>71</v>
      </c>
      <c r="Z495" t="s">
        <v>61</v>
      </c>
    </row>
    <row r="496" spans="1:26" x14ac:dyDescent="0.2">
      <c r="A496" t="s">
        <v>1133</v>
      </c>
      <c r="B496" t="s">
        <v>374</v>
      </c>
      <c r="C496" t="s">
        <v>96</v>
      </c>
      <c r="D496" t="s">
        <v>97</v>
      </c>
      <c r="E496" t="s">
        <v>114</v>
      </c>
      <c r="F496" t="s">
        <v>84</v>
      </c>
      <c r="G496" t="s">
        <v>65</v>
      </c>
      <c r="H496" t="s">
        <v>66</v>
      </c>
      <c r="I496" t="s">
        <v>67</v>
      </c>
      <c r="J496" s="3">
        <v>44824</v>
      </c>
      <c r="K496">
        <v>3.3</v>
      </c>
      <c r="L496">
        <v>42</v>
      </c>
      <c r="M496" s="4">
        <v>22500</v>
      </c>
      <c r="N496" s="4">
        <v>372555</v>
      </c>
      <c r="O496" t="s">
        <v>69</v>
      </c>
      <c r="P496" t="s">
        <v>69</v>
      </c>
      <c r="Q496">
        <v>2.2000000000000002</v>
      </c>
      <c r="R496">
        <v>62</v>
      </c>
      <c r="S496">
        <v>19</v>
      </c>
      <c r="T496" t="s">
        <v>69</v>
      </c>
      <c r="U496">
        <v>0</v>
      </c>
      <c r="V496">
        <v>24</v>
      </c>
      <c r="W496" t="s">
        <v>68</v>
      </c>
      <c r="X496" t="s">
        <v>68</v>
      </c>
      <c r="Y496" t="s">
        <v>71</v>
      </c>
      <c r="Z496" t="s">
        <v>96</v>
      </c>
    </row>
    <row r="497" spans="1:26" x14ac:dyDescent="0.2">
      <c r="A497" t="s">
        <v>1134</v>
      </c>
      <c r="B497" t="s">
        <v>670</v>
      </c>
      <c r="C497" t="s">
        <v>133</v>
      </c>
      <c r="D497" t="s">
        <v>134</v>
      </c>
      <c r="E497" t="s">
        <v>1135</v>
      </c>
      <c r="F497" t="s">
        <v>84</v>
      </c>
      <c r="G497" t="s">
        <v>85</v>
      </c>
      <c r="H497" t="s">
        <v>78</v>
      </c>
      <c r="I497" t="s">
        <v>554</v>
      </c>
      <c r="J497" s="3">
        <v>43623</v>
      </c>
      <c r="K497">
        <v>6.6</v>
      </c>
      <c r="L497">
        <v>41</v>
      </c>
      <c r="M497" s="4">
        <v>20400</v>
      </c>
      <c r="N497" s="4">
        <v>308108</v>
      </c>
      <c r="O497" t="s">
        <v>69</v>
      </c>
      <c r="P497" t="s">
        <v>68</v>
      </c>
      <c r="Q497">
        <v>2.4700000000000002</v>
      </c>
      <c r="R497">
        <v>66</v>
      </c>
      <c r="S497">
        <v>18</v>
      </c>
      <c r="T497" t="s">
        <v>69</v>
      </c>
      <c r="U497">
        <v>0</v>
      </c>
      <c r="V497">
        <v>0</v>
      </c>
      <c r="W497" t="s">
        <v>69</v>
      </c>
      <c r="X497" t="s">
        <v>68</v>
      </c>
      <c r="Y497" t="s">
        <v>71</v>
      </c>
      <c r="Z497" t="s">
        <v>133</v>
      </c>
    </row>
    <row r="498" spans="1:26" x14ac:dyDescent="0.2">
      <c r="A498" t="s">
        <v>1136</v>
      </c>
      <c r="B498" t="s">
        <v>1137</v>
      </c>
      <c r="C498" t="s">
        <v>108</v>
      </c>
      <c r="D498" t="s">
        <v>194</v>
      </c>
      <c r="E498" t="s">
        <v>296</v>
      </c>
      <c r="F498" t="s">
        <v>120</v>
      </c>
      <c r="G498" t="s">
        <v>65</v>
      </c>
      <c r="H498" t="s">
        <v>78</v>
      </c>
      <c r="I498" t="s">
        <v>79</v>
      </c>
      <c r="J498" s="3">
        <v>42500</v>
      </c>
      <c r="K498">
        <v>9.6999999999999993</v>
      </c>
      <c r="L498">
        <v>45</v>
      </c>
      <c r="M498" s="4">
        <v>10900</v>
      </c>
      <c r="N498" s="4">
        <v>159714</v>
      </c>
      <c r="O498" t="s">
        <v>68</v>
      </c>
      <c r="P498" t="s">
        <v>69</v>
      </c>
      <c r="Q498">
        <v>2.77</v>
      </c>
      <c r="R498">
        <v>69</v>
      </c>
      <c r="S498">
        <v>18</v>
      </c>
      <c r="T498" t="s">
        <v>69</v>
      </c>
      <c r="U498">
        <v>4</v>
      </c>
      <c r="V498">
        <v>12</v>
      </c>
      <c r="W498" t="s">
        <v>70</v>
      </c>
      <c r="X498" t="s">
        <v>68</v>
      </c>
      <c r="Y498" t="s">
        <v>71</v>
      </c>
      <c r="Z498" t="s">
        <v>108</v>
      </c>
    </row>
    <row r="499" spans="1:26" x14ac:dyDescent="0.2">
      <c r="A499" t="s">
        <v>1138</v>
      </c>
      <c r="B499" t="s">
        <v>169</v>
      </c>
      <c r="C499" t="s">
        <v>74</v>
      </c>
      <c r="D499" t="s">
        <v>75</v>
      </c>
      <c r="E499" t="s">
        <v>204</v>
      </c>
      <c r="F499" t="s">
        <v>64</v>
      </c>
      <c r="G499" t="s">
        <v>65</v>
      </c>
      <c r="H499" t="s">
        <v>66</v>
      </c>
      <c r="I499" t="s">
        <v>115</v>
      </c>
      <c r="J499" s="3">
        <v>45518</v>
      </c>
      <c r="K499">
        <v>1.4</v>
      </c>
      <c r="L499">
        <v>45</v>
      </c>
      <c r="M499" s="4">
        <v>7200</v>
      </c>
      <c r="N499" s="4">
        <v>109745</v>
      </c>
      <c r="O499" t="s">
        <v>68</v>
      </c>
      <c r="P499" t="s">
        <v>68</v>
      </c>
      <c r="Q499">
        <v>2.83</v>
      </c>
      <c r="R499">
        <v>61</v>
      </c>
      <c r="S499">
        <v>32</v>
      </c>
      <c r="T499" t="s">
        <v>68</v>
      </c>
      <c r="U499">
        <v>12</v>
      </c>
      <c r="V499">
        <v>50</v>
      </c>
      <c r="W499" t="s">
        <v>70</v>
      </c>
      <c r="X499" t="s">
        <v>68</v>
      </c>
      <c r="Y499" t="s">
        <v>86</v>
      </c>
      <c r="Z499" t="s">
        <v>74</v>
      </c>
    </row>
    <row r="500" spans="1:26" x14ac:dyDescent="0.2">
      <c r="A500" t="s">
        <v>1139</v>
      </c>
      <c r="B500" t="s">
        <v>474</v>
      </c>
      <c r="C500" t="s">
        <v>102</v>
      </c>
      <c r="D500" t="s">
        <v>103</v>
      </c>
      <c r="E500" t="s">
        <v>104</v>
      </c>
      <c r="F500" t="s">
        <v>92</v>
      </c>
      <c r="G500" t="s">
        <v>65</v>
      </c>
      <c r="H500" t="s">
        <v>78</v>
      </c>
      <c r="I500" t="s">
        <v>148</v>
      </c>
      <c r="J500" s="3">
        <v>44376</v>
      </c>
      <c r="K500">
        <v>4.5</v>
      </c>
      <c r="L500">
        <v>29</v>
      </c>
      <c r="M500" s="4">
        <v>4300</v>
      </c>
      <c r="N500" s="4">
        <v>68502</v>
      </c>
      <c r="O500" t="s">
        <v>68</v>
      </c>
      <c r="P500" t="s">
        <v>69</v>
      </c>
      <c r="Q500">
        <v>2.74</v>
      </c>
      <c r="R500">
        <v>64</v>
      </c>
      <c r="S500">
        <v>14</v>
      </c>
      <c r="T500" t="s">
        <v>69</v>
      </c>
      <c r="U500">
        <v>0</v>
      </c>
      <c r="V500">
        <v>17</v>
      </c>
      <c r="W500" t="s">
        <v>70</v>
      </c>
      <c r="X500" t="s">
        <v>68</v>
      </c>
      <c r="Y500" t="s">
        <v>71</v>
      </c>
      <c r="Z500" t="s">
        <v>102</v>
      </c>
    </row>
    <row r="501" spans="1:26" x14ac:dyDescent="0.2">
      <c r="A501" t="s">
        <v>1140</v>
      </c>
      <c r="B501" t="s">
        <v>377</v>
      </c>
      <c r="C501" t="s">
        <v>89</v>
      </c>
      <c r="D501" t="s">
        <v>230</v>
      </c>
      <c r="E501" t="s">
        <v>549</v>
      </c>
      <c r="F501" t="s">
        <v>120</v>
      </c>
      <c r="G501" t="s">
        <v>65</v>
      </c>
      <c r="H501" t="s">
        <v>78</v>
      </c>
      <c r="I501" t="s">
        <v>148</v>
      </c>
      <c r="J501" s="3">
        <v>45494</v>
      </c>
      <c r="K501">
        <v>1.4</v>
      </c>
      <c r="L501">
        <v>30</v>
      </c>
      <c r="M501" s="4">
        <v>10200</v>
      </c>
      <c r="N501" s="4">
        <v>164053</v>
      </c>
      <c r="O501" t="s">
        <v>68</v>
      </c>
      <c r="P501" t="s">
        <v>69</v>
      </c>
      <c r="Q501">
        <v>3.41</v>
      </c>
      <c r="R501">
        <v>64</v>
      </c>
      <c r="S501">
        <v>5</v>
      </c>
      <c r="T501" t="s">
        <v>68</v>
      </c>
      <c r="U501">
        <v>3</v>
      </c>
      <c r="V501">
        <v>51</v>
      </c>
      <c r="W501" t="s">
        <v>70</v>
      </c>
      <c r="X501" t="s">
        <v>68</v>
      </c>
      <c r="Y501" t="s">
        <v>86</v>
      </c>
      <c r="Z501" t="s">
        <v>89</v>
      </c>
    </row>
    <row r="502" spans="1:26" x14ac:dyDescent="0.2">
      <c r="A502" t="s">
        <v>1141</v>
      </c>
      <c r="B502" t="s">
        <v>1142</v>
      </c>
      <c r="C502" t="s">
        <v>108</v>
      </c>
      <c r="D502" t="s">
        <v>194</v>
      </c>
      <c r="E502" t="s">
        <v>825</v>
      </c>
      <c r="F502" t="s">
        <v>136</v>
      </c>
      <c r="G502" t="s">
        <v>65</v>
      </c>
      <c r="H502" t="s">
        <v>78</v>
      </c>
      <c r="I502" t="s">
        <v>67</v>
      </c>
      <c r="J502" s="3">
        <v>44006</v>
      </c>
      <c r="K502">
        <v>5.5</v>
      </c>
      <c r="L502">
        <v>30</v>
      </c>
      <c r="M502" s="4">
        <v>12200</v>
      </c>
      <c r="N502" s="4">
        <v>177197</v>
      </c>
      <c r="O502" t="s">
        <v>68</v>
      </c>
      <c r="P502" t="s">
        <v>69</v>
      </c>
      <c r="Q502">
        <v>2.8</v>
      </c>
      <c r="R502">
        <v>67</v>
      </c>
      <c r="S502">
        <v>32</v>
      </c>
      <c r="T502" t="s">
        <v>69</v>
      </c>
      <c r="U502">
        <v>2</v>
      </c>
      <c r="V502">
        <v>29</v>
      </c>
      <c r="W502" t="s">
        <v>70</v>
      </c>
      <c r="X502" t="s">
        <v>68</v>
      </c>
      <c r="Y502" t="s">
        <v>71</v>
      </c>
      <c r="Z502" t="s">
        <v>108</v>
      </c>
    </row>
    <row r="503" spans="1:26" x14ac:dyDescent="0.2">
      <c r="A503" t="s">
        <v>1143</v>
      </c>
      <c r="B503" t="s">
        <v>923</v>
      </c>
      <c r="C503" t="s">
        <v>124</v>
      </c>
      <c r="D503" t="s">
        <v>125</v>
      </c>
      <c r="E503" t="s">
        <v>330</v>
      </c>
      <c r="F503" t="s">
        <v>120</v>
      </c>
      <c r="G503" t="s">
        <v>85</v>
      </c>
      <c r="H503" t="s">
        <v>78</v>
      </c>
      <c r="I503" t="s">
        <v>99</v>
      </c>
      <c r="J503" s="3">
        <v>41382</v>
      </c>
      <c r="K503">
        <v>12.7</v>
      </c>
      <c r="L503">
        <v>57</v>
      </c>
      <c r="M503" s="4">
        <v>7800</v>
      </c>
      <c r="N503" s="4">
        <v>111406</v>
      </c>
      <c r="O503" t="s">
        <v>68</v>
      </c>
      <c r="P503" t="s">
        <v>68</v>
      </c>
      <c r="Q503">
        <v>3.29</v>
      </c>
      <c r="R503">
        <v>44</v>
      </c>
      <c r="S503">
        <v>38</v>
      </c>
      <c r="T503" t="s">
        <v>69</v>
      </c>
      <c r="U503">
        <v>7</v>
      </c>
      <c r="V503">
        <v>0</v>
      </c>
      <c r="W503" t="s">
        <v>70</v>
      </c>
      <c r="X503" t="s">
        <v>68</v>
      </c>
      <c r="Y503" t="s">
        <v>86</v>
      </c>
      <c r="Z503" t="s">
        <v>124</v>
      </c>
    </row>
    <row r="504" spans="1:26" x14ac:dyDescent="0.2">
      <c r="A504" t="s">
        <v>1144</v>
      </c>
      <c r="B504" t="s">
        <v>538</v>
      </c>
      <c r="C504" t="s">
        <v>74</v>
      </c>
      <c r="D504" t="s">
        <v>313</v>
      </c>
      <c r="E504" t="s">
        <v>427</v>
      </c>
      <c r="F504" t="s">
        <v>77</v>
      </c>
      <c r="G504" t="s">
        <v>65</v>
      </c>
      <c r="H504" t="s">
        <v>78</v>
      </c>
      <c r="I504" t="s">
        <v>99</v>
      </c>
      <c r="J504" s="3">
        <v>41996</v>
      </c>
      <c r="K504">
        <v>11</v>
      </c>
      <c r="L504">
        <v>26</v>
      </c>
      <c r="M504" s="4">
        <v>9900</v>
      </c>
      <c r="N504" s="4">
        <v>142803</v>
      </c>
      <c r="O504" t="s">
        <v>68</v>
      </c>
      <c r="P504" t="s">
        <v>69</v>
      </c>
      <c r="Q504">
        <v>3.06</v>
      </c>
      <c r="R504">
        <v>59</v>
      </c>
      <c r="S504">
        <v>27</v>
      </c>
      <c r="T504" t="s">
        <v>69</v>
      </c>
      <c r="U504">
        <v>4</v>
      </c>
      <c r="V504">
        <v>21</v>
      </c>
      <c r="W504" t="s">
        <v>70</v>
      </c>
      <c r="X504" t="s">
        <v>68</v>
      </c>
      <c r="Y504" t="s">
        <v>71</v>
      </c>
      <c r="Z504" t="s">
        <v>74</v>
      </c>
    </row>
    <row r="505" spans="1:26" x14ac:dyDescent="0.2">
      <c r="A505" t="s">
        <v>1145</v>
      </c>
      <c r="B505" t="s">
        <v>1146</v>
      </c>
      <c r="C505" t="s">
        <v>96</v>
      </c>
      <c r="D505" t="s">
        <v>162</v>
      </c>
      <c r="E505" t="s">
        <v>632</v>
      </c>
      <c r="F505" t="s">
        <v>120</v>
      </c>
      <c r="G505" t="s">
        <v>65</v>
      </c>
      <c r="H505" t="s">
        <v>78</v>
      </c>
      <c r="I505" t="s">
        <v>67</v>
      </c>
      <c r="J505" s="3">
        <v>45180</v>
      </c>
      <c r="K505">
        <v>2.2999999999999998</v>
      </c>
      <c r="L505">
        <v>45</v>
      </c>
      <c r="M505" s="4">
        <v>7400</v>
      </c>
      <c r="N505" s="4">
        <v>113466</v>
      </c>
      <c r="O505" t="s">
        <v>68</v>
      </c>
      <c r="P505" t="s">
        <v>69</v>
      </c>
      <c r="Q505">
        <v>3.22</v>
      </c>
      <c r="R505">
        <v>82</v>
      </c>
      <c r="S505">
        <v>30</v>
      </c>
      <c r="T505" t="s">
        <v>68</v>
      </c>
      <c r="U505">
        <v>5</v>
      </c>
      <c r="V505">
        <v>6</v>
      </c>
      <c r="W505" t="s">
        <v>70</v>
      </c>
      <c r="X505" t="s">
        <v>68</v>
      </c>
      <c r="Y505" t="s">
        <v>71</v>
      </c>
      <c r="Z505" t="s">
        <v>96</v>
      </c>
    </row>
    <row r="506" spans="1:26" x14ac:dyDescent="0.2">
      <c r="A506" t="s">
        <v>1147</v>
      </c>
      <c r="B506" t="s">
        <v>95</v>
      </c>
      <c r="C506" t="s">
        <v>61</v>
      </c>
      <c r="D506" t="s">
        <v>177</v>
      </c>
      <c r="E506" t="s">
        <v>178</v>
      </c>
      <c r="F506" t="s">
        <v>77</v>
      </c>
      <c r="G506" t="s">
        <v>65</v>
      </c>
      <c r="H506" t="s">
        <v>78</v>
      </c>
      <c r="I506" t="s">
        <v>115</v>
      </c>
      <c r="J506" s="3">
        <v>42252</v>
      </c>
      <c r="K506">
        <v>10.3</v>
      </c>
      <c r="L506">
        <v>37</v>
      </c>
      <c r="M506" s="4">
        <v>10200</v>
      </c>
      <c r="N506" s="4">
        <v>156827</v>
      </c>
      <c r="O506" t="s">
        <v>68</v>
      </c>
      <c r="P506" t="s">
        <v>68</v>
      </c>
      <c r="Q506">
        <v>3.36</v>
      </c>
      <c r="R506">
        <v>74</v>
      </c>
      <c r="S506">
        <v>27</v>
      </c>
      <c r="T506" t="s">
        <v>69</v>
      </c>
      <c r="U506">
        <v>9</v>
      </c>
      <c r="V506">
        <v>15</v>
      </c>
      <c r="W506" t="s">
        <v>70</v>
      </c>
      <c r="X506" t="s">
        <v>68</v>
      </c>
      <c r="Y506" t="s">
        <v>71</v>
      </c>
      <c r="Z506" t="s">
        <v>61</v>
      </c>
    </row>
    <row r="507" spans="1:26" x14ac:dyDescent="0.2">
      <c r="A507" t="s">
        <v>1148</v>
      </c>
      <c r="B507" t="s">
        <v>785</v>
      </c>
      <c r="C507" t="s">
        <v>74</v>
      </c>
      <c r="D507" t="s">
        <v>139</v>
      </c>
      <c r="E507" t="s">
        <v>140</v>
      </c>
      <c r="F507" t="s">
        <v>64</v>
      </c>
      <c r="G507" t="s">
        <v>65</v>
      </c>
      <c r="H507" t="s">
        <v>66</v>
      </c>
      <c r="I507" t="s">
        <v>111</v>
      </c>
      <c r="J507" s="3">
        <v>41719</v>
      </c>
      <c r="K507">
        <v>11.8</v>
      </c>
      <c r="L507">
        <v>58</v>
      </c>
      <c r="M507" s="4">
        <v>5600</v>
      </c>
      <c r="N507" s="4">
        <v>91097</v>
      </c>
      <c r="O507" t="s">
        <v>68</v>
      </c>
      <c r="P507" t="s">
        <v>68</v>
      </c>
      <c r="Q507">
        <v>3.21</v>
      </c>
      <c r="R507">
        <v>91</v>
      </c>
      <c r="S507">
        <v>25</v>
      </c>
      <c r="T507" t="s">
        <v>69</v>
      </c>
      <c r="U507">
        <v>13</v>
      </c>
      <c r="V507">
        <v>32</v>
      </c>
      <c r="W507" t="s">
        <v>70</v>
      </c>
      <c r="X507" t="s">
        <v>68</v>
      </c>
      <c r="Y507" t="s">
        <v>71</v>
      </c>
      <c r="Z507" t="s">
        <v>74</v>
      </c>
    </row>
    <row r="508" spans="1:26" x14ac:dyDescent="0.2">
      <c r="A508" t="s">
        <v>1149</v>
      </c>
      <c r="B508" t="s">
        <v>257</v>
      </c>
      <c r="C508" t="s">
        <v>124</v>
      </c>
      <c r="D508" t="s">
        <v>125</v>
      </c>
      <c r="E508" t="s">
        <v>712</v>
      </c>
      <c r="F508" t="s">
        <v>136</v>
      </c>
      <c r="G508" t="s">
        <v>65</v>
      </c>
      <c r="H508" t="s">
        <v>66</v>
      </c>
      <c r="I508" t="s">
        <v>121</v>
      </c>
      <c r="J508" s="3">
        <v>45556</v>
      </c>
      <c r="K508">
        <v>1.3</v>
      </c>
      <c r="L508">
        <v>42</v>
      </c>
      <c r="M508" s="4">
        <v>14000</v>
      </c>
      <c r="N508" s="4">
        <v>223401</v>
      </c>
      <c r="O508" t="s">
        <v>68</v>
      </c>
      <c r="P508" t="s">
        <v>69</v>
      </c>
      <c r="Q508">
        <v>2.78</v>
      </c>
      <c r="R508">
        <v>59</v>
      </c>
      <c r="S508">
        <v>31</v>
      </c>
      <c r="T508" t="s">
        <v>69</v>
      </c>
      <c r="U508">
        <v>6</v>
      </c>
      <c r="V508">
        <v>32</v>
      </c>
      <c r="W508" t="s">
        <v>70</v>
      </c>
      <c r="X508" t="s">
        <v>68</v>
      </c>
      <c r="Y508" t="s">
        <v>71</v>
      </c>
      <c r="Z508" t="s">
        <v>124</v>
      </c>
    </row>
    <row r="509" spans="1:26" x14ac:dyDescent="0.2">
      <c r="A509" t="s">
        <v>1150</v>
      </c>
      <c r="B509" t="s">
        <v>775</v>
      </c>
      <c r="C509" t="s">
        <v>102</v>
      </c>
      <c r="D509" t="s">
        <v>166</v>
      </c>
      <c r="E509" t="s">
        <v>170</v>
      </c>
      <c r="F509" t="s">
        <v>77</v>
      </c>
      <c r="G509" t="s">
        <v>65</v>
      </c>
      <c r="H509" t="s">
        <v>78</v>
      </c>
      <c r="I509" t="s">
        <v>148</v>
      </c>
      <c r="J509" s="3">
        <v>42627</v>
      </c>
      <c r="K509">
        <v>9.3000000000000007</v>
      </c>
      <c r="L509">
        <v>56</v>
      </c>
      <c r="M509" s="4">
        <v>13800</v>
      </c>
      <c r="N509" s="4">
        <v>225928</v>
      </c>
      <c r="O509" t="s">
        <v>68</v>
      </c>
      <c r="P509" t="s">
        <v>69</v>
      </c>
      <c r="Q509">
        <v>2.98</v>
      </c>
      <c r="R509">
        <v>58</v>
      </c>
      <c r="S509">
        <v>35</v>
      </c>
      <c r="T509" t="s">
        <v>69</v>
      </c>
      <c r="U509">
        <v>0</v>
      </c>
      <c r="V509">
        <v>37</v>
      </c>
      <c r="W509" t="s">
        <v>70</v>
      </c>
      <c r="X509" t="s">
        <v>68</v>
      </c>
      <c r="Y509" t="s">
        <v>86</v>
      </c>
      <c r="Z509" t="s">
        <v>102</v>
      </c>
    </row>
    <row r="510" spans="1:26" x14ac:dyDescent="0.2">
      <c r="A510" t="s">
        <v>1151</v>
      </c>
      <c r="B510" t="s">
        <v>1152</v>
      </c>
      <c r="C510" t="s">
        <v>102</v>
      </c>
      <c r="D510" t="s">
        <v>166</v>
      </c>
      <c r="E510" t="s">
        <v>879</v>
      </c>
      <c r="F510" t="s">
        <v>120</v>
      </c>
      <c r="G510" t="s">
        <v>65</v>
      </c>
      <c r="H510" t="s">
        <v>66</v>
      </c>
      <c r="I510" t="s">
        <v>67</v>
      </c>
      <c r="J510" s="3">
        <v>45159</v>
      </c>
      <c r="K510">
        <v>2.4</v>
      </c>
      <c r="L510">
        <v>39</v>
      </c>
      <c r="M510" s="4">
        <v>7400</v>
      </c>
      <c r="N510" s="4">
        <v>104881</v>
      </c>
      <c r="O510" t="s">
        <v>68</v>
      </c>
      <c r="P510" t="s">
        <v>69</v>
      </c>
      <c r="Q510">
        <v>3.39</v>
      </c>
      <c r="R510">
        <v>84</v>
      </c>
      <c r="S510">
        <v>20</v>
      </c>
      <c r="T510" t="s">
        <v>69</v>
      </c>
      <c r="U510">
        <v>4</v>
      </c>
      <c r="V510">
        <v>22</v>
      </c>
      <c r="W510" t="s">
        <v>70</v>
      </c>
      <c r="X510" t="s">
        <v>68</v>
      </c>
      <c r="Y510" t="s">
        <v>71</v>
      </c>
      <c r="Z510" t="s">
        <v>102</v>
      </c>
    </row>
    <row r="511" spans="1:26" x14ac:dyDescent="0.2">
      <c r="A511" t="s">
        <v>1153</v>
      </c>
      <c r="B511" t="s">
        <v>646</v>
      </c>
      <c r="C511" t="s">
        <v>61</v>
      </c>
      <c r="D511" t="s">
        <v>62</v>
      </c>
      <c r="E511" t="s">
        <v>447</v>
      </c>
      <c r="F511" t="s">
        <v>136</v>
      </c>
      <c r="G511" t="s">
        <v>65</v>
      </c>
      <c r="H511" t="s">
        <v>66</v>
      </c>
      <c r="I511" t="s">
        <v>67</v>
      </c>
      <c r="J511" s="3">
        <v>42155</v>
      </c>
      <c r="K511">
        <v>10.6</v>
      </c>
      <c r="L511">
        <v>23</v>
      </c>
      <c r="M511" s="4">
        <v>12400</v>
      </c>
      <c r="N511" s="4">
        <v>198346</v>
      </c>
      <c r="O511" t="s">
        <v>68</v>
      </c>
      <c r="P511" t="s">
        <v>68</v>
      </c>
      <c r="Q511">
        <v>3.41</v>
      </c>
      <c r="R511">
        <v>78</v>
      </c>
      <c r="S511">
        <v>34</v>
      </c>
      <c r="T511" t="s">
        <v>69</v>
      </c>
      <c r="U511">
        <v>4</v>
      </c>
      <c r="V511">
        <v>5</v>
      </c>
      <c r="W511" t="s">
        <v>70</v>
      </c>
      <c r="X511" t="s">
        <v>68</v>
      </c>
      <c r="Y511" t="s">
        <v>71</v>
      </c>
      <c r="Z511" t="s">
        <v>61</v>
      </c>
    </row>
    <row r="512" spans="1:26" x14ac:dyDescent="0.2">
      <c r="A512" t="s">
        <v>1154</v>
      </c>
      <c r="B512" t="s">
        <v>936</v>
      </c>
      <c r="C512" t="s">
        <v>108</v>
      </c>
      <c r="D512" t="s">
        <v>109</v>
      </c>
      <c r="E512" t="s">
        <v>355</v>
      </c>
      <c r="F512" t="s">
        <v>77</v>
      </c>
      <c r="G512" t="s">
        <v>65</v>
      </c>
      <c r="H512" t="s">
        <v>66</v>
      </c>
      <c r="I512" t="s">
        <v>148</v>
      </c>
      <c r="J512" s="3">
        <v>44723</v>
      </c>
      <c r="K512">
        <v>3.6</v>
      </c>
      <c r="L512">
        <v>41</v>
      </c>
      <c r="M512" s="4">
        <v>11400</v>
      </c>
      <c r="N512" s="4">
        <v>175079</v>
      </c>
      <c r="O512" t="s">
        <v>68</v>
      </c>
      <c r="P512" t="s">
        <v>69</v>
      </c>
      <c r="Q512">
        <v>3.28</v>
      </c>
      <c r="R512">
        <v>59</v>
      </c>
      <c r="S512">
        <v>25</v>
      </c>
      <c r="T512" t="s">
        <v>69</v>
      </c>
      <c r="U512">
        <v>5</v>
      </c>
      <c r="V512">
        <v>35</v>
      </c>
      <c r="W512" t="s">
        <v>70</v>
      </c>
      <c r="X512" t="s">
        <v>68</v>
      </c>
      <c r="Y512" t="s">
        <v>86</v>
      </c>
      <c r="Z512" t="s">
        <v>108</v>
      </c>
    </row>
    <row r="513" spans="1:26" x14ac:dyDescent="0.2">
      <c r="A513" t="s">
        <v>1155</v>
      </c>
      <c r="B513" t="s">
        <v>1156</v>
      </c>
      <c r="C513" t="s">
        <v>124</v>
      </c>
      <c r="D513" t="s">
        <v>243</v>
      </c>
      <c r="E513" t="s">
        <v>546</v>
      </c>
      <c r="F513" t="s">
        <v>174</v>
      </c>
      <c r="G513" t="s">
        <v>65</v>
      </c>
      <c r="H513" t="s">
        <v>66</v>
      </c>
      <c r="I513" t="s">
        <v>148</v>
      </c>
      <c r="J513" s="3">
        <v>43542</v>
      </c>
      <c r="K513">
        <v>6.8</v>
      </c>
      <c r="L513">
        <v>37</v>
      </c>
      <c r="M513" s="4">
        <v>30200</v>
      </c>
      <c r="N513" s="4">
        <v>427714</v>
      </c>
      <c r="O513" t="s">
        <v>69</v>
      </c>
      <c r="P513" t="s">
        <v>68</v>
      </c>
      <c r="Q513">
        <v>1.92</v>
      </c>
      <c r="R513">
        <v>43</v>
      </c>
      <c r="S513">
        <v>45</v>
      </c>
      <c r="T513" t="s">
        <v>68</v>
      </c>
      <c r="U513">
        <v>5</v>
      </c>
      <c r="V513">
        <v>0</v>
      </c>
      <c r="W513" t="s">
        <v>69</v>
      </c>
      <c r="X513" t="s">
        <v>68</v>
      </c>
      <c r="Y513" t="s">
        <v>86</v>
      </c>
      <c r="Z513" t="s">
        <v>124</v>
      </c>
    </row>
    <row r="514" spans="1:26" x14ac:dyDescent="0.2">
      <c r="A514" t="s">
        <v>1157</v>
      </c>
      <c r="B514" t="s">
        <v>998</v>
      </c>
      <c r="C514" t="s">
        <v>96</v>
      </c>
      <c r="D514" t="s">
        <v>234</v>
      </c>
      <c r="E514" t="s">
        <v>1079</v>
      </c>
      <c r="F514" t="s">
        <v>174</v>
      </c>
      <c r="G514" t="s">
        <v>65</v>
      </c>
      <c r="H514" t="s">
        <v>66</v>
      </c>
      <c r="I514" t="s">
        <v>93</v>
      </c>
      <c r="J514" s="3">
        <v>43058</v>
      </c>
      <c r="K514">
        <v>8.1</v>
      </c>
      <c r="L514">
        <v>30</v>
      </c>
      <c r="M514" s="4">
        <v>25900</v>
      </c>
      <c r="N514" s="4">
        <v>392108</v>
      </c>
      <c r="O514" t="s">
        <v>69</v>
      </c>
      <c r="P514" t="s">
        <v>69</v>
      </c>
      <c r="Q514">
        <v>4</v>
      </c>
      <c r="R514">
        <v>81</v>
      </c>
      <c r="S514">
        <v>44</v>
      </c>
      <c r="T514" t="s">
        <v>69</v>
      </c>
      <c r="U514">
        <v>2</v>
      </c>
      <c r="V514">
        <v>35</v>
      </c>
      <c r="W514" t="s">
        <v>69</v>
      </c>
      <c r="X514" t="s">
        <v>69</v>
      </c>
      <c r="Y514" t="s">
        <v>71</v>
      </c>
      <c r="Z514" t="s">
        <v>96</v>
      </c>
    </row>
    <row r="515" spans="1:26" x14ac:dyDescent="0.2">
      <c r="A515" t="s">
        <v>1158</v>
      </c>
      <c r="B515" t="s">
        <v>720</v>
      </c>
      <c r="C515" t="s">
        <v>133</v>
      </c>
      <c r="D515" t="s">
        <v>213</v>
      </c>
      <c r="E515" t="s">
        <v>927</v>
      </c>
      <c r="F515" t="s">
        <v>77</v>
      </c>
      <c r="G515" t="s">
        <v>85</v>
      </c>
      <c r="H515" t="s">
        <v>66</v>
      </c>
      <c r="I515" t="s">
        <v>148</v>
      </c>
      <c r="J515" s="3">
        <v>42487</v>
      </c>
      <c r="K515">
        <v>9.6999999999999993</v>
      </c>
      <c r="L515">
        <v>26</v>
      </c>
      <c r="M515" s="4">
        <v>13000</v>
      </c>
      <c r="N515" s="4">
        <v>191371</v>
      </c>
      <c r="O515" t="s">
        <v>68</v>
      </c>
      <c r="P515" t="s">
        <v>68</v>
      </c>
      <c r="Q515">
        <v>2.82</v>
      </c>
      <c r="R515">
        <v>64</v>
      </c>
      <c r="S515">
        <v>50</v>
      </c>
      <c r="T515" t="s">
        <v>69</v>
      </c>
      <c r="U515">
        <v>2</v>
      </c>
      <c r="V515">
        <v>0</v>
      </c>
      <c r="W515" t="s">
        <v>70</v>
      </c>
      <c r="X515" t="s">
        <v>68</v>
      </c>
      <c r="Y515" t="s">
        <v>71</v>
      </c>
      <c r="Z515" t="s">
        <v>133</v>
      </c>
    </row>
    <row r="516" spans="1:26" x14ac:dyDescent="0.2">
      <c r="A516" t="s">
        <v>1159</v>
      </c>
      <c r="B516" t="s">
        <v>938</v>
      </c>
      <c r="C516" t="s">
        <v>102</v>
      </c>
      <c r="D516" t="s">
        <v>339</v>
      </c>
      <c r="E516" t="s">
        <v>340</v>
      </c>
      <c r="F516" t="s">
        <v>77</v>
      </c>
      <c r="G516" t="s">
        <v>65</v>
      </c>
      <c r="H516" t="s">
        <v>66</v>
      </c>
      <c r="I516" t="s">
        <v>67</v>
      </c>
      <c r="J516" s="3">
        <v>41244</v>
      </c>
      <c r="K516">
        <v>13.1</v>
      </c>
      <c r="L516">
        <v>60</v>
      </c>
      <c r="M516" s="4">
        <v>11000</v>
      </c>
      <c r="N516" s="4">
        <v>179191</v>
      </c>
      <c r="O516" t="s">
        <v>68</v>
      </c>
      <c r="P516" t="s">
        <v>69</v>
      </c>
      <c r="Q516">
        <v>2.25</v>
      </c>
      <c r="R516">
        <v>53</v>
      </c>
      <c r="S516">
        <v>30</v>
      </c>
      <c r="T516" t="s">
        <v>69</v>
      </c>
      <c r="U516">
        <v>3</v>
      </c>
      <c r="V516">
        <v>50</v>
      </c>
      <c r="W516" t="s">
        <v>70</v>
      </c>
      <c r="X516" t="s">
        <v>68</v>
      </c>
      <c r="Y516" t="s">
        <v>86</v>
      </c>
      <c r="Z516" t="s">
        <v>102</v>
      </c>
    </row>
    <row r="517" spans="1:26" x14ac:dyDescent="0.2">
      <c r="A517" t="s">
        <v>1160</v>
      </c>
      <c r="B517" t="s">
        <v>676</v>
      </c>
      <c r="C517" t="s">
        <v>89</v>
      </c>
      <c r="D517" t="s">
        <v>239</v>
      </c>
      <c r="E517" t="s">
        <v>384</v>
      </c>
      <c r="F517" t="s">
        <v>136</v>
      </c>
      <c r="G517" t="s">
        <v>65</v>
      </c>
      <c r="H517" t="s">
        <v>78</v>
      </c>
      <c r="I517" t="s">
        <v>105</v>
      </c>
      <c r="J517" s="3">
        <v>44793</v>
      </c>
      <c r="K517">
        <v>3.4</v>
      </c>
      <c r="L517">
        <v>57</v>
      </c>
      <c r="M517" s="4">
        <v>15200</v>
      </c>
      <c r="N517" s="4">
        <v>239227</v>
      </c>
      <c r="O517" t="s">
        <v>68</v>
      </c>
      <c r="P517" t="s">
        <v>69</v>
      </c>
      <c r="Q517">
        <v>3.22</v>
      </c>
      <c r="R517">
        <v>52</v>
      </c>
      <c r="S517">
        <v>23</v>
      </c>
      <c r="T517" t="s">
        <v>69</v>
      </c>
      <c r="U517">
        <v>13</v>
      </c>
      <c r="V517">
        <v>73</v>
      </c>
      <c r="W517" t="s">
        <v>70</v>
      </c>
      <c r="X517" t="s">
        <v>68</v>
      </c>
      <c r="Y517" t="s">
        <v>86</v>
      </c>
      <c r="Z517" t="s">
        <v>89</v>
      </c>
    </row>
    <row r="518" spans="1:26" x14ac:dyDescent="0.2">
      <c r="A518" t="s">
        <v>1161</v>
      </c>
      <c r="B518" t="s">
        <v>365</v>
      </c>
      <c r="C518" t="s">
        <v>61</v>
      </c>
      <c r="D518" t="s">
        <v>218</v>
      </c>
      <c r="E518" t="s">
        <v>219</v>
      </c>
      <c r="F518" t="s">
        <v>64</v>
      </c>
      <c r="G518" t="s">
        <v>65</v>
      </c>
      <c r="H518" t="s">
        <v>66</v>
      </c>
      <c r="I518" t="s">
        <v>99</v>
      </c>
      <c r="J518" s="3">
        <v>42465</v>
      </c>
      <c r="K518">
        <v>9.6999999999999993</v>
      </c>
      <c r="L518">
        <v>54</v>
      </c>
      <c r="M518" s="4">
        <v>5900</v>
      </c>
      <c r="N518" s="4">
        <v>97006</v>
      </c>
      <c r="O518" t="s">
        <v>68</v>
      </c>
      <c r="P518" t="s">
        <v>68</v>
      </c>
      <c r="Q518">
        <v>2.61</v>
      </c>
      <c r="R518">
        <v>59</v>
      </c>
      <c r="S518">
        <v>44</v>
      </c>
      <c r="T518" t="s">
        <v>69</v>
      </c>
      <c r="U518">
        <v>3</v>
      </c>
      <c r="V518">
        <v>0</v>
      </c>
      <c r="W518" t="s">
        <v>70</v>
      </c>
      <c r="X518" t="s">
        <v>68</v>
      </c>
      <c r="Y518" t="s">
        <v>71</v>
      </c>
      <c r="Z518" t="s">
        <v>61</v>
      </c>
    </row>
    <row r="519" spans="1:26" x14ac:dyDescent="0.2">
      <c r="A519" t="s">
        <v>1162</v>
      </c>
      <c r="B519" t="s">
        <v>1163</v>
      </c>
      <c r="C519" t="s">
        <v>74</v>
      </c>
      <c r="D519" t="s">
        <v>118</v>
      </c>
      <c r="E519" t="s">
        <v>438</v>
      </c>
      <c r="F519" t="s">
        <v>64</v>
      </c>
      <c r="G519" t="s">
        <v>65</v>
      </c>
      <c r="H519" t="s">
        <v>66</v>
      </c>
      <c r="I519" t="s">
        <v>79</v>
      </c>
      <c r="J519" s="3">
        <v>44814</v>
      </c>
      <c r="K519">
        <v>3.3</v>
      </c>
      <c r="L519">
        <v>45</v>
      </c>
      <c r="M519" s="4">
        <v>7200</v>
      </c>
      <c r="N519" s="4">
        <v>103750</v>
      </c>
      <c r="O519" t="s">
        <v>69</v>
      </c>
      <c r="P519" t="s">
        <v>68</v>
      </c>
      <c r="Q519">
        <v>2.4900000000000002</v>
      </c>
      <c r="R519">
        <v>49</v>
      </c>
      <c r="S519">
        <v>41</v>
      </c>
      <c r="T519" t="s">
        <v>69</v>
      </c>
      <c r="U519">
        <v>4</v>
      </c>
      <c r="V519">
        <v>27</v>
      </c>
      <c r="W519" t="s">
        <v>69</v>
      </c>
      <c r="X519" t="s">
        <v>68</v>
      </c>
      <c r="Y519" t="s">
        <v>86</v>
      </c>
      <c r="Z519" t="s">
        <v>74</v>
      </c>
    </row>
    <row r="520" spans="1:26" x14ac:dyDescent="0.2">
      <c r="A520" t="s">
        <v>1164</v>
      </c>
      <c r="B520" t="s">
        <v>281</v>
      </c>
      <c r="C520" t="s">
        <v>74</v>
      </c>
      <c r="D520" t="s">
        <v>313</v>
      </c>
      <c r="E520" t="s">
        <v>1165</v>
      </c>
      <c r="F520" t="s">
        <v>64</v>
      </c>
      <c r="G520" t="s">
        <v>65</v>
      </c>
      <c r="H520" t="s">
        <v>66</v>
      </c>
      <c r="I520" t="s">
        <v>111</v>
      </c>
      <c r="J520" s="3">
        <v>45923</v>
      </c>
      <c r="K520">
        <v>0.3</v>
      </c>
      <c r="L520">
        <v>37</v>
      </c>
      <c r="M520" s="4">
        <v>5800</v>
      </c>
      <c r="N520" s="4">
        <v>89609</v>
      </c>
      <c r="O520" t="s">
        <v>68</v>
      </c>
      <c r="P520" t="s">
        <v>69</v>
      </c>
      <c r="Q520">
        <v>3.63</v>
      </c>
      <c r="R520">
        <v>77</v>
      </c>
      <c r="S520">
        <v>31</v>
      </c>
      <c r="T520" t="s">
        <v>69</v>
      </c>
      <c r="U520">
        <v>1</v>
      </c>
      <c r="V520">
        <v>66</v>
      </c>
      <c r="W520" t="s">
        <v>70</v>
      </c>
      <c r="X520" t="s">
        <v>69</v>
      </c>
      <c r="Y520" t="s">
        <v>86</v>
      </c>
      <c r="Z520" t="s">
        <v>74</v>
      </c>
    </row>
    <row r="521" spans="1:26" x14ac:dyDescent="0.2">
      <c r="A521" t="s">
        <v>1166</v>
      </c>
      <c r="B521" t="s">
        <v>1167</v>
      </c>
      <c r="C521" t="s">
        <v>108</v>
      </c>
      <c r="D521" t="s">
        <v>194</v>
      </c>
      <c r="E521" t="s">
        <v>293</v>
      </c>
      <c r="F521" t="s">
        <v>92</v>
      </c>
      <c r="G521" t="s">
        <v>215</v>
      </c>
      <c r="H521" t="s">
        <v>66</v>
      </c>
      <c r="I521" t="s">
        <v>99</v>
      </c>
      <c r="J521" s="3">
        <v>43397</v>
      </c>
      <c r="K521">
        <v>7.2</v>
      </c>
      <c r="L521">
        <v>40</v>
      </c>
      <c r="M521" s="4">
        <v>3900</v>
      </c>
      <c r="N521" s="4">
        <v>60582</v>
      </c>
      <c r="O521" t="s">
        <v>68</v>
      </c>
      <c r="P521" t="s">
        <v>69</v>
      </c>
      <c r="Q521">
        <v>3.26</v>
      </c>
      <c r="R521">
        <v>60</v>
      </c>
      <c r="S521">
        <v>0</v>
      </c>
      <c r="T521" t="s">
        <v>69</v>
      </c>
      <c r="U521">
        <v>6</v>
      </c>
      <c r="V521">
        <v>40</v>
      </c>
      <c r="W521" t="s">
        <v>70</v>
      </c>
      <c r="X521" t="s">
        <v>68</v>
      </c>
      <c r="Y521" t="s">
        <v>86</v>
      </c>
      <c r="Z521" t="s">
        <v>108</v>
      </c>
    </row>
    <row r="522" spans="1:26" x14ac:dyDescent="0.2">
      <c r="A522" t="s">
        <v>1168</v>
      </c>
      <c r="B522" t="s">
        <v>910</v>
      </c>
      <c r="C522" t="s">
        <v>108</v>
      </c>
      <c r="D522" t="s">
        <v>109</v>
      </c>
      <c r="E522" t="s">
        <v>600</v>
      </c>
      <c r="F522" t="s">
        <v>120</v>
      </c>
      <c r="G522" t="s">
        <v>65</v>
      </c>
      <c r="H522" t="s">
        <v>78</v>
      </c>
      <c r="I522" t="s">
        <v>67</v>
      </c>
      <c r="J522" s="3">
        <v>43097</v>
      </c>
      <c r="K522">
        <v>8</v>
      </c>
      <c r="L522">
        <v>32</v>
      </c>
      <c r="M522" s="4">
        <v>9200</v>
      </c>
      <c r="N522" s="4">
        <v>130343</v>
      </c>
      <c r="O522" t="s">
        <v>69</v>
      </c>
      <c r="P522" t="s">
        <v>69</v>
      </c>
      <c r="Q522">
        <v>3.18</v>
      </c>
      <c r="R522">
        <v>55</v>
      </c>
      <c r="S522">
        <v>13</v>
      </c>
      <c r="T522" t="s">
        <v>69</v>
      </c>
      <c r="U522">
        <v>3</v>
      </c>
      <c r="V522">
        <v>28</v>
      </c>
      <c r="W522" t="s">
        <v>68</v>
      </c>
      <c r="X522" t="s">
        <v>68</v>
      </c>
      <c r="Y522" t="s">
        <v>86</v>
      </c>
      <c r="Z522" t="s">
        <v>108</v>
      </c>
    </row>
    <row r="523" spans="1:26" x14ac:dyDescent="0.2">
      <c r="A523" t="s">
        <v>1169</v>
      </c>
      <c r="B523" t="s">
        <v>1170</v>
      </c>
      <c r="C523" t="s">
        <v>143</v>
      </c>
      <c r="D523" t="s">
        <v>158</v>
      </c>
      <c r="E523" t="s">
        <v>577</v>
      </c>
      <c r="F523" t="s">
        <v>120</v>
      </c>
      <c r="G523" t="s">
        <v>65</v>
      </c>
      <c r="H523" t="s">
        <v>78</v>
      </c>
      <c r="I523" t="s">
        <v>99</v>
      </c>
      <c r="J523" s="3">
        <v>43789</v>
      </c>
      <c r="K523">
        <v>6.1</v>
      </c>
      <c r="L523">
        <v>34</v>
      </c>
      <c r="M523" s="4">
        <v>9600</v>
      </c>
      <c r="N523" s="4">
        <v>147380</v>
      </c>
      <c r="O523" t="s">
        <v>68</v>
      </c>
      <c r="P523" t="s">
        <v>69</v>
      </c>
      <c r="Q523">
        <v>2.5299999999999998</v>
      </c>
      <c r="R523">
        <v>54</v>
      </c>
      <c r="S523">
        <v>0</v>
      </c>
      <c r="T523" t="s">
        <v>69</v>
      </c>
      <c r="U523">
        <v>7</v>
      </c>
      <c r="V523">
        <v>26</v>
      </c>
      <c r="W523" t="s">
        <v>70</v>
      </c>
      <c r="X523" t="s">
        <v>68</v>
      </c>
      <c r="Y523" t="s">
        <v>86</v>
      </c>
      <c r="Z523" t="s">
        <v>143</v>
      </c>
    </row>
    <row r="524" spans="1:26" x14ac:dyDescent="0.2">
      <c r="A524" t="s">
        <v>1171</v>
      </c>
      <c r="B524" t="s">
        <v>414</v>
      </c>
      <c r="C524" t="s">
        <v>96</v>
      </c>
      <c r="D524" t="s">
        <v>129</v>
      </c>
      <c r="E524" t="s">
        <v>834</v>
      </c>
      <c r="F524" t="s">
        <v>84</v>
      </c>
      <c r="G524" t="s">
        <v>65</v>
      </c>
      <c r="H524" t="s">
        <v>66</v>
      </c>
      <c r="I524" t="s">
        <v>111</v>
      </c>
      <c r="J524" s="3">
        <v>45249</v>
      </c>
      <c r="K524">
        <v>2.1</v>
      </c>
      <c r="L524">
        <v>40</v>
      </c>
      <c r="M524" s="4">
        <v>20500</v>
      </c>
      <c r="N524" s="4">
        <v>305425</v>
      </c>
      <c r="O524" t="s">
        <v>69</v>
      </c>
      <c r="P524" t="s">
        <v>69</v>
      </c>
      <c r="Q524">
        <v>2.74</v>
      </c>
      <c r="R524">
        <v>54</v>
      </c>
      <c r="S524">
        <v>46</v>
      </c>
      <c r="T524" t="s">
        <v>68</v>
      </c>
      <c r="U524">
        <v>4</v>
      </c>
      <c r="V524">
        <v>7</v>
      </c>
      <c r="W524" t="s">
        <v>68</v>
      </c>
      <c r="X524" t="s">
        <v>68</v>
      </c>
      <c r="Y524" t="s">
        <v>71</v>
      </c>
      <c r="Z524" t="s">
        <v>96</v>
      </c>
    </row>
    <row r="525" spans="1:26" x14ac:dyDescent="0.2">
      <c r="A525" t="s">
        <v>1172</v>
      </c>
      <c r="B525" t="s">
        <v>584</v>
      </c>
      <c r="C525" t="s">
        <v>133</v>
      </c>
      <c r="D525" t="s">
        <v>287</v>
      </c>
      <c r="E525" t="s">
        <v>1173</v>
      </c>
      <c r="F525" t="s">
        <v>77</v>
      </c>
      <c r="G525" t="s">
        <v>65</v>
      </c>
      <c r="H525" t="s">
        <v>78</v>
      </c>
      <c r="I525" t="s">
        <v>148</v>
      </c>
      <c r="J525" s="3">
        <v>42695</v>
      </c>
      <c r="K525">
        <v>9.1</v>
      </c>
      <c r="L525">
        <v>58</v>
      </c>
      <c r="M525" s="4">
        <v>9800</v>
      </c>
      <c r="N525" s="4">
        <v>154477</v>
      </c>
      <c r="O525" t="s">
        <v>68</v>
      </c>
      <c r="P525" t="s">
        <v>68</v>
      </c>
      <c r="Q525">
        <v>3.54</v>
      </c>
      <c r="R525">
        <v>63</v>
      </c>
      <c r="S525">
        <v>21</v>
      </c>
      <c r="T525" t="s">
        <v>69</v>
      </c>
      <c r="U525">
        <v>4</v>
      </c>
      <c r="V525">
        <v>41</v>
      </c>
      <c r="W525" t="s">
        <v>70</v>
      </c>
      <c r="X525" t="s">
        <v>69</v>
      </c>
      <c r="Y525" t="s">
        <v>71</v>
      </c>
      <c r="Z525" t="s">
        <v>133</v>
      </c>
    </row>
    <row r="526" spans="1:26" x14ac:dyDescent="0.2">
      <c r="A526" t="s">
        <v>1174</v>
      </c>
      <c r="B526" t="s">
        <v>716</v>
      </c>
      <c r="C526" t="s">
        <v>96</v>
      </c>
      <c r="D526" t="s">
        <v>234</v>
      </c>
      <c r="E526" t="s">
        <v>408</v>
      </c>
      <c r="F526" t="s">
        <v>120</v>
      </c>
      <c r="G526" t="s">
        <v>65</v>
      </c>
      <c r="H526" t="s">
        <v>78</v>
      </c>
      <c r="I526" t="s">
        <v>115</v>
      </c>
      <c r="J526" s="3">
        <v>44704</v>
      </c>
      <c r="K526">
        <v>3.6</v>
      </c>
      <c r="L526">
        <v>43</v>
      </c>
      <c r="M526" s="4">
        <v>8400</v>
      </c>
      <c r="N526" s="4">
        <v>135851</v>
      </c>
      <c r="O526" t="s">
        <v>68</v>
      </c>
      <c r="P526" t="s">
        <v>69</v>
      </c>
      <c r="Q526">
        <v>2.58</v>
      </c>
      <c r="R526">
        <v>65</v>
      </c>
      <c r="S526">
        <v>5</v>
      </c>
      <c r="T526" t="s">
        <v>68</v>
      </c>
      <c r="U526">
        <v>10</v>
      </c>
      <c r="V526">
        <v>0</v>
      </c>
      <c r="W526" t="s">
        <v>70</v>
      </c>
      <c r="X526" t="s">
        <v>68</v>
      </c>
      <c r="Y526" t="s">
        <v>71</v>
      </c>
      <c r="Z526" t="s">
        <v>96</v>
      </c>
    </row>
    <row r="527" spans="1:26" x14ac:dyDescent="0.2">
      <c r="A527" t="s">
        <v>1175</v>
      </c>
      <c r="B527" t="s">
        <v>1176</v>
      </c>
      <c r="C527" t="s">
        <v>133</v>
      </c>
      <c r="D527" t="s">
        <v>134</v>
      </c>
      <c r="E527" t="s">
        <v>993</v>
      </c>
      <c r="F527" t="s">
        <v>77</v>
      </c>
      <c r="G527" t="s">
        <v>65</v>
      </c>
      <c r="H527" t="s">
        <v>66</v>
      </c>
      <c r="I527" t="s">
        <v>67</v>
      </c>
      <c r="J527" s="3">
        <v>45621</v>
      </c>
      <c r="K527">
        <v>1.1000000000000001</v>
      </c>
      <c r="L527">
        <v>43</v>
      </c>
      <c r="M527" s="4">
        <v>11500</v>
      </c>
      <c r="N527" s="4">
        <v>164816</v>
      </c>
      <c r="O527" t="s">
        <v>68</v>
      </c>
      <c r="P527" t="s">
        <v>69</v>
      </c>
      <c r="Q527">
        <v>3.31</v>
      </c>
      <c r="R527">
        <v>71</v>
      </c>
      <c r="S527">
        <v>49</v>
      </c>
      <c r="T527" t="s">
        <v>69</v>
      </c>
      <c r="U527">
        <v>11</v>
      </c>
      <c r="V527">
        <v>30</v>
      </c>
      <c r="W527" t="s">
        <v>70</v>
      </c>
      <c r="X527" t="s">
        <v>68</v>
      </c>
      <c r="Y527" t="s">
        <v>71</v>
      </c>
      <c r="Z527" t="s">
        <v>133</v>
      </c>
    </row>
    <row r="528" spans="1:26" x14ac:dyDescent="0.2">
      <c r="A528" t="s">
        <v>1177</v>
      </c>
      <c r="B528" t="s">
        <v>440</v>
      </c>
      <c r="C528" t="s">
        <v>89</v>
      </c>
      <c r="D528" t="s">
        <v>230</v>
      </c>
      <c r="E528" t="s">
        <v>979</v>
      </c>
      <c r="F528" t="s">
        <v>136</v>
      </c>
      <c r="G528" t="s">
        <v>65</v>
      </c>
      <c r="H528" t="s">
        <v>66</v>
      </c>
      <c r="I528" t="s">
        <v>99</v>
      </c>
      <c r="J528" s="3">
        <v>45678</v>
      </c>
      <c r="K528">
        <v>0.9</v>
      </c>
      <c r="L528">
        <v>46</v>
      </c>
      <c r="M528" s="4">
        <v>15000</v>
      </c>
      <c r="N528" s="4">
        <v>224935</v>
      </c>
      <c r="O528" t="s">
        <v>68</v>
      </c>
      <c r="P528" t="s">
        <v>69</v>
      </c>
      <c r="Q528">
        <v>3.23</v>
      </c>
      <c r="R528">
        <v>52</v>
      </c>
      <c r="S528">
        <v>7</v>
      </c>
      <c r="T528" t="s">
        <v>69</v>
      </c>
      <c r="U528">
        <v>3</v>
      </c>
      <c r="V528">
        <v>13</v>
      </c>
      <c r="W528" t="s">
        <v>70</v>
      </c>
      <c r="X528" t="s">
        <v>68</v>
      </c>
      <c r="Y528" t="s">
        <v>71</v>
      </c>
      <c r="Z528" t="s">
        <v>89</v>
      </c>
    </row>
    <row r="529" spans="1:26" x14ac:dyDescent="0.2">
      <c r="A529" t="s">
        <v>1178</v>
      </c>
      <c r="B529" t="s">
        <v>324</v>
      </c>
      <c r="C529" t="s">
        <v>102</v>
      </c>
      <c r="D529" t="s">
        <v>183</v>
      </c>
      <c r="E529" t="s">
        <v>1020</v>
      </c>
      <c r="F529" t="s">
        <v>64</v>
      </c>
      <c r="G529" t="s">
        <v>65</v>
      </c>
      <c r="H529" t="s">
        <v>78</v>
      </c>
      <c r="I529" t="s">
        <v>67</v>
      </c>
      <c r="J529" s="3">
        <v>41569</v>
      </c>
      <c r="K529">
        <v>12.2</v>
      </c>
      <c r="L529">
        <v>27</v>
      </c>
      <c r="M529" s="4">
        <v>6800</v>
      </c>
      <c r="N529" s="4">
        <v>107741</v>
      </c>
      <c r="O529" t="s">
        <v>68</v>
      </c>
      <c r="P529" t="s">
        <v>69</v>
      </c>
      <c r="Q529">
        <v>3.26</v>
      </c>
      <c r="R529">
        <v>47</v>
      </c>
      <c r="S529">
        <v>21</v>
      </c>
      <c r="T529" t="s">
        <v>68</v>
      </c>
      <c r="U529">
        <v>0</v>
      </c>
      <c r="V529">
        <v>28</v>
      </c>
      <c r="W529" t="s">
        <v>70</v>
      </c>
      <c r="X529" t="s">
        <v>68</v>
      </c>
      <c r="Y529" t="s">
        <v>86</v>
      </c>
      <c r="Z529" t="s">
        <v>102</v>
      </c>
    </row>
    <row r="530" spans="1:26" x14ac:dyDescent="0.2">
      <c r="A530" t="s">
        <v>1179</v>
      </c>
      <c r="B530" t="s">
        <v>268</v>
      </c>
      <c r="C530" t="s">
        <v>12</v>
      </c>
      <c r="D530" t="s">
        <v>421</v>
      </c>
      <c r="E530" t="s">
        <v>422</v>
      </c>
      <c r="F530" t="s">
        <v>77</v>
      </c>
      <c r="G530" t="s">
        <v>65</v>
      </c>
      <c r="H530" t="s">
        <v>66</v>
      </c>
      <c r="I530" t="s">
        <v>67</v>
      </c>
      <c r="J530" s="3">
        <v>41457</v>
      </c>
      <c r="K530">
        <v>12.5</v>
      </c>
      <c r="L530">
        <v>26</v>
      </c>
      <c r="M530" s="4">
        <v>9900</v>
      </c>
      <c r="N530" s="4">
        <v>152572</v>
      </c>
      <c r="O530" t="s">
        <v>68</v>
      </c>
      <c r="P530" t="s">
        <v>68</v>
      </c>
      <c r="Q530">
        <v>2.87</v>
      </c>
      <c r="R530">
        <v>56</v>
      </c>
      <c r="S530">
        <v>35</v>
      </c>
      <c r="T530" t="s">
        <v>69</v>
      </c>
      <c r="U530">
        <v>0</v>
      </c>
      <c r="V530">
        <v>0</v>
      </c>
      <c r="W530" t="s">
        <v>70</v>
      </c>
      <c r="X530" t="s">
        <v>68</v>
      </c>
      <c r="Y530" t="s">
        <v>71</v>
      </c>
      <c r="Z530" t="s">
        <v>12</v>
      </c>
    </row>
    <row r="531" spans="1:26" x14ac:dyDescent="0.2">
      <c r="A531" t="s">
        <v>1180</v>
      </c>
      <c r="B531" t="s">
        <v>1181</v>
      </c>
      <c r="C531" t="s">
        <v>89</v>
      </c>
      <c r="D531" t="s">
        <v>230</v>
      </c>
      <c r="E531" t="s">
        <v>1182</v>
      </c>
      <c r="F531" t="s">
        <v>174</v>
      </c>
      <c r="G531" t="s">
        <v>85</v>
      </c>
      <c r="H531" t="s">
        <v>78</v>
      </c>
      <c r="I531" t="s">
        <v>67</v>
      </c>
      <c r="J531" s="3">
        <v>43296</v>
      </c>
      <c r="K531">
        <v>7.5</v>
      </c>
      <c r="L531">
        <v>29</v>
      </c>
      <c r="M531" s="4">
        <v>28300</v>
      </c>
      <c r="N531" s="4">
        <v>468440</v>
      </c>
      <c r="O531" t="s">
        <v>69</v>
      </c>
      <c r="P531" t="s">
        <v>69</v>
      </c>
      <c r="Q531">
        <v>3.84</v>
      </c>
      <c r="R531">
        <v>61</v>
      </c>
      <c r="S531">
        <v>17</v>
      </c>
      <c r="T531" t="s">
        <v>69</v>
      </c>
      <c r="U531">
        <v>0</v>
      </c>
      <c r="V531">
        <v>0</v>
      </c>
      <c r="W531" t="s">
        <v>68</v>
      </c>
      <c r="X531" t="s">
        <v>69</v>
      </c>
      <c r="Y531" t="s">
        <v>71</v>
      </c>
      <c r="Z531" t="s">
        <v>89</v>
      </c>
    </row>
    <row r="532" spans="1:26" x14ac:dyDescent="0.2">
      <c r="A532" t="s">
        <v>1183</v>
      </c>
      <c r="B532" t="s">
        <v>1184</v>
      </c>
      <c r="C532" t="s">
        <v>89</v>
      </c>
      <c r="D532" t="s">
        <v>230</v>
      </c>
      <c r="E532" t="s">
        <v>979</v>
      </c>
      <c r="F532" t="s">
        <v>136</v>
      </c>
      <c r="G532" t="s">
        <v>65</v>
      </c>
      <c r="H532" t="s">
        <v>66</v>
      </c>
      <c r="I532" t="s">
        <v>79</v>
      </c>
      <c r="J532" s="3">
        <v>41522</v>
      </c>
      <c r="K532">
        <v>12.3</v>
      </c>
      <c r="L532">
        <v>35</v>
      </c>
      <c r="M532" s="4">
        <v>15300</v>
      </c>
      <c r="N532" s="4">
        <v>245008</v>
      </c>
      <c r="O532" t="s">
        <v>68</v>
      </c>
      <c r="P532" t="s">
        <v>69</v>
      </c>
      <c r="Q532">
        <v>3</v>
      </c>
      <c r="R532">
        <v>68</v>
      </c>
      <c r="S532">
        <v>4</v>
      </c>
      <c r="T532" t="s">
        <v>69</v>
      </c>
      <c r="U532">
        <v>10</v>
      </c>
      <c r="V532">
        <v>42</v>
      </c>
      <c r="W532" t="s">
        <v>70</v>
      </c>
      <c r="X532" t="s">
        <v>68</v>
      </c>
      <c r="Y532" t="s">
        <v>71</v>
      </c>
      <c r="Z532" t="s">
        <v>89</v>
      </c>
    </row>
    <row r="533" spans="1:26" x14ac:dyDescent="0.2">
      <c r="A533" t="s">
        <v>1185</v>
      </c>
      <c r="B533" t="s">
        <v>1186</v>
      </c>
      <c r="C533" t="s">
        <v>96</v>
      </c>
      <c r="D533" t="s">
        <v>234</v>
      </c>
      <c r="E533" t="s">
        <v>408</v>
      </c>
      <c r="F533" t="s">
        <v>120</v>
      </c>
      <c r="G533" t="s">
        <v>65</v>
      </c>
      <c r="H533" t="s">
        <v>78</v>
      </c>
      <c r="I533" t="s">
        <v>455</v>
      </c>
      <c r="J533" s="3">
        <v>45934</v>
      </c>
      <c r="K533">
        <v>0.2</v>
      </c>
      <c r="L533">
        <v>34</v>
      </c>
      <c r="M533" s="4">
        <v>8100</v>
      </c>
      <c r="N533" s="4">
        <v>133931</v>
      </c>
      <c r="O533" t="s">
        <v>68</v>
      </c>
      <c r="P533" t="s">
        <v>69</v>
      </c>
      <c r="Q533">
        <v>2.84</v>
      </c>
      <c r="R533">
        <v>62</v>
      </c>
      <c r="S533">
        <v>19</v>
      </c>
      <c r="T533" t="s">
        <v>69</v>
      </c>
      <c r="U533">
        <v>5</v>
      </c>
      <c r="V533">
        <v>8</v>
      </c>
      <c r="W533" t="s">
        <v>70</v>
      </c>
      <c r="X533" t="s">
        <v>68</v>
      </c>
      <c r="Y533" t="s">
        <v>71</v>
      </c>
      <c r="Z533" t="s">
        <v>96</v>
      </c>
    </row>
    <row r="534" spans="1:26" x14ac:dyDescent="0.2">
      <c r="A534" t="s">
        <v>1187</v>
      </c>
      <c r="B534" t="s">
        <v>147</v>
      </c>
      <c r="C534" t="s">
        <v>143</v>
      </c>
      <c r="D534" t="s">
        <v>207</v>
      </c>
      <c r="E534" t="s">
        <v>796</v>
      </c>
      <c r="F534" t="s">
        <v>84</v>
      </c>
      <c r="G534" t="s">
        <v>215</v>
      </c>
      <c r="H534" t="s">
        <v>78</v>
      </c>
      <c r="I534" t="s">
        <v>67</v>
      </c>
      <c r="J534" s="3">
        <v>45400</v>
      </c>
      <c r="K534">
        <v>1.7</v>
      </c>
      <c r="L534">
        <v>33</v>
      </c>
      <c r="M534" s="4">
        <v>18900</v>
      </c>
      <c r="N534" s="4">
        <v>303955</v>
      </c>
      <c r="O534" t="s">
        <v>69</v>
      </c>
      <c r="P534" t="s">
        <v>69</v>
      </c>
      <c r="Q534">
        <v>3.29</v>
      </c>
      <c r="R534">
        <v>60</v>
      </c>
      <c r="S534">
        <v>17</v>
      </c>
      <c r="T534" t="s">
        <v>69</v>
      </c>
      <c r="U534">
        <v>7</v>
      </c>
      <c r="V534">
        <v>20</v>
      </c>
      <c r="W534" t="s">
        <v>68</v>
      </c>
      <c r="X534" t="s">
        <v>68</v>
      </c>
      <c r="Y534" t="s">
        <v>71</v>
      </c>
      <c r="Z534" t="s">
        <v>143</v>
      </c>
    </row>
    <row r="535" spans="1:26" x14ac:dyDescent="0.2">
      <c r="A535" t="s">
        <v>1188</v>
      </c>
      <c r="B535" t="s">
        <v>564</v>
      </c>
      <c r="C535" t="s">
        <v>74</v>
      </c>
      <c r="D535" t="s">
        <v>75</v>
      </c>
      <c r="E535" t="s">
        <v>307</v>
      </c>
      <c r="F535" t="s">
        <v>120</v>
      </c>
      <c r="G535" t="s">
        <v>65</v>
      </c>
      <c r="H535" t="s">
        <v>66</v>
      </c>
      <c r="I535" t="s">
        <v>148</v>
      </c>
      <c r="J535" s="3">
        <v>43267</v>
      </c>
      <c r="K535">
        <v>7.6</v>
      </c>
      <c r="L535">
        <v>59</v>
      </c>
      <c r="M535" s="4">
        <v>8300</v>
      </c>
      <c r="N535" s="4">
        <v>119008</v>
      </c>
      <c r="O535" t="s">
        <v>68</v>
      </c>
      <c r="P535" t="s">
        <v>68</v>
      </c>
      <c r="Q535">
        <v>3.49</v>
      </c>
      <c r="R535">
        <v>80</v>
      </c>
      <c r="S535">
        <v>5</v>
      </c>
      <c r="T535" t="s">
        <v>69</v>
      </c>
      <c r="U535">
        <v>10</v>
      </c>
      <c r="V535">
        <v>18</v>
      </c>
      <c r="W535" t="s">
        <v>70</v>
      </c>
      <c r="X535" t="s">
        <v>68</v>
      </c>
      <c r="Y535" t="s">
        <v>71</v>
      </c>
      <c r="Z535" t="s">
        <v>74</v>
      </c>
    </row>
    <row r="536" spans="1:26" x14ac:dyDescent="0.2">
      <c r="A536" t="s">
        <v>1189</v>
      </c>
      <c r="B536" t="s">
        <v>894</v>
      </c>
      <c r="C536" t="s">
        <v>96</v>
      </c>
      <c r="D536" t="s">
        <v>129</v>
      </c>
      <c r="E536" t="s">
        <v>562</v>
      </c>
      <c r="F536" t="s">
        <v>77</v>
      </c>
      <c r="G536" t="s">
        <v>65</v>
      </c>
      <c r="H536" t="s">
        <v>78</v>
      </c>
      <c r="I536" t="s">
        <v>111</v>
      </c>
      <c r="J536" s="3">
        <v>41491</v>
      </c>
      <c r="K536">
        <v>12.4</v>
      </c>
      <c r="L536">
        <v>26</v>
      </c>
      <c r="M536" s="4">
        <v>9700</v>
      </c>
      <c r="N536" s="4">
        <v>142091</v>
      </c>
      <c r="O536" t="s">
        <v>68</v>
      </c>
      <c r="P536" t="s">
        <v>69</v>
      </c>
      <c r="Q536">
        <v>2.64</v>
      </c>
      <c r="R536">
        <v>64</v>
      </c>
      <c r="S536">
        <v>20</v>
      </c>
      <c r="T536" t="s">
        <v>69</v>
      </c>
      <c r="U536">
        <v>6</v>
      </c>
      <c r="V536">
        <v>44</v>
      </c>
      <c r="W536" t="s">
        <v>70</v>
      </c>
      <c r="X536" t="s">
        <v>68</v>
      </c>
      <c r="Y536" t="s">
        <v>71</v>
      </c>
      <c r="Z536" t="s">
        <v>96</v>
      </c>
    </row>
    <row r="537" spans="1:26" x14ac:dyDescent="0.2">
      <c r="A537" t="s">
        <v>1190</v>
      </c>
      <c r="B537" t="s">
        <v>117</v>
      </c>
      <c r="C537" t="s">
        <v>12</v>
      </c>
      <c r="D537" t="s">
        <v>421</v>
      </c>
      <c r="E537" t="s">
        <v>441</v>
      </c>
      <c r="F537" t="s">
        <v>64</v>
      </c>
      <c r="G537" t="s">
        <v>65</v>
      </c>
      <c r="H537" t="s">
        <v>66</v>
      </c>
      <c r="I537" t="s">
        <v>67</v>
      </c>
      <c r="J537" s="3">
        <v>42819</v>
      </c>
      <c r="K537">
        <v>8.8000000000000007</v>
      </c>
      <c r="L537">
        <v>60</v>
      </c>
      <c r="M537" s="4">
        <v>6800</v>
      </c>
      <c r="N537" s="4">
        <v>99341</v>
      </c>
      <c r="O537" t="s">
        <v>68</v>
      </c>
      <c r="P537" t="s">
        <v>68</v>
      </c>
      <c r="Q537">
        <v>3.84</v>
      </c>
      <c r="R537">
        <v>88</v>
      </c>
      <c r="S537">
        <v>18</v>
      </c>
      <c r="T537" t="s">
        <v>69</v>
      </c>
      <c r="U537">
        <v>0</v>
      </c>
      <c r="V537">
        <v>27</v>
      </c>
      <c r="W537" t="s">
        <v>70</v>
      </c>
      <c r="X537" t="s">
        <v>69</v>
      </c>
      <c r="Y537" t="s">
        <v>71</v>
      </c>
      <c r="Z537" t="s">
        <v>12</v>
      </c>
    </row>
    <row r="538" spans="1:26" x14ac:dyDescent="0.2">
      <c r="A538" t="s">
        <v>1191</v>
      </c>
      <c r="B538" t="s">
        <v>850</v>
      </c>
      <c r="C538" t="s">
        <v>89</v>
      </c>
      <c r="D538" t="s">
        <v>90</v>
      </c>
      <c r="E538" t="s">
        <v>333</v>
      </c>
      <c r="F538" t="s">
        <v>136</v>
      </c>
      <c r="G538" t="s">
        <v>65</v>
      </c>
      <c r="H538" t="s">
        <v>66</v>
      </c>
      <c r="I538" t="s">
        <v>67</v>
      </c>
      <c r="J538" s="3">
        <v>42105</v>
      </c>
      <c r="K538">
        <v>10.7</v>
      </c>
      <c r="L538">
        <v>33</v>
      </c>
      <c r="M538" s="4">
        <v>14400</v>
      </c>
      <c r="N538" s="4">
        <v>211886</v>
      </c>
      <c r="O538" t="s">
        <v>68</v>
      </c>
      <c r="P538" t="s">
        <v>69</v>
      </c>
      <c r="Q538">
        <v>3.78</v>
      </c>
      <c r="R538">
        <v>60</v>
      </c>
      <c r="S538">
        <v>11</v>
      </c>
      <c r="T538" t="s">
        <v>69</v>
      </c>
      <c r="U538">
        <v>3</v>
      </c>
      <c r="V538">
        <v>14</v>
      </c>
      <c r="W538" t="s">
        <v>70</v>
      </c>
      <c r="X538" t="s">
        <v>69</v>
      </c>
      <c r="Y538" t="s">
        <v>71</v>
      </c>
      <c r="Z538" t="s">
        <v>89</v>
      </c>
    </row>
    <row r="539" spans="1:26" x14ac:dyDescent="0.2">
      <c r="A539" t="s">
        <v>1192</v>
      </c>
      <c r="B539" t="s">
        <v>656</v>
      </c>
      <c r="C539" t="s">
        <v>102</v>
      </c>
      <c r="D539" t="s">
        <v>339</v>
      </c>
      <c r="E539" t="s">
        <v>1193</v>
      </c>
      <c r="F539" t="s">
        <v>92</v>
      </c>
      <c r="G539" t="s">
        <v>65</v>
      </c>
      <c r="H539" t="s">
        <v>78</v>
      </c>
      <c r="I539" t="s">
        <v>67</v>
      </c>
      <c r="J539" s="3">
        <v>45328</v>
      </c>
      <c r="K539">
        <v>1.9</v>
      </c>
      <c r="L539">
        <v>43</v>
      </c>
      <c r="M539" s="4">
        <v>4400</v>
      </c>
      <c r="N539" s="4">
        <v>67361</v>
      </c>
      <c r="O539" t="s">
        <v>68</v>
      </c>
      <c r="P539" t="s">
        <v>69</v>
      </c>
      <c r="Q539">
        <v>2.38</v>
      </c>
      <c r="R539">
        <v>61</v>
      </c>
      <c r="S539">
        <v>7</v>
      </c>
      <c r="T539" t="s">
        <v>68</v>
      </c>
      <c r="U539">
        <v>3</v>
      </c>
      <c r="V539">
        <v>20</v>
      </c>
      <c r="W539" t="s">
        <v>70</v>
      </c>
      <c r="X539" t="s">
        <v>68</v>
      </c>
      <c r="Y539" t="s">
        <v>86</v>
      </c>
      <c r="Z539" t="s">
        <v>102</v>
      </c>
    </row>
    <row r="540" spans="1:26" x14ac:dyDescent="0.2">
      <c r="A540" t="s">
        <v>1194</v>
      </c>
      <c r="B540" t="s">
        <v>1125</v>
      </c>
      <c r="C540" t="s">
        <v>89</v>
      </c>
      <c r="D540" t="s">
        <v>154</v>
      </c>
      <c r="E540" t="s">
        <v>454</v>
      </c>
      <c r="F540" t="s">
        <v>92</v>
      </c>
      <c r="G540" t="s">
        <v>85</v>
      </c>
      <c r="H540" t="s">
        <v>78</v>
      </c>
      <c r="I540" t="s">
        <v>105</v>
      </c>
      <c r="J540" s="3">
        <v>44459</v>
      </c>
      <c r="K540">
        <v>4.3</v>
      </c>
      <c r="L540">
        <v>41</v>
      </c>
      <c r="M540" s="4">
        <v>4600</v>
      </c>
      <c r="N540" s="4">
        <v>70985</v>
      </c>
      <c r="O540" t="s">
        <v>68</v>
      </c>
      <c r="P540" t="s">
        <v>69</v>
      </c>
      <c r="Q540">
        <v>2.4900000000000002</v>
      </c>
      <c r="R540">
        <v>51</v>
      </c>
      <c r="S540">
        <v>26</v>
      </c>
      <c r="T540" t="s">
        <v>69</v>
      </c>
      <c r="U540">
        <v>4</v>
      </c>
      <c r="V540">
        <v>20</v>
      </c>
      <c r="W540" t="s">
        <v>70</v>
      </c>
      <c r="X540" t="s">
        <v>68</v>
      </c>
      <c r="Y540" t="s">
        <v>86</v>
      </c>
      <c r="Z540" t="s">
        <v>89</v>
      </c>
    </row>
    <row r="541" spans="1:26" x14ac:dyDescent="0.2">
      <c r="A541" t="s">
        <v>1195</v>
      </c>
      <c r="B541" t="s">
        <v>1196</v>
      </c>
      <c r="C541" t="s">
        <v>96</v>
      </c>
      <c r="D541" t="s">
        <v>234</v>
      </c>
      <c r="E541" t="s">
        <v>235</v>
      </c>
      <c r="F541" t="s">
        <v>77</v>
      </c>
      <c r="G541" t="s">
        <v>85</v>
      </c>
      <c r="H541" t="s">
        <v>78</v>
      </c>
      <c r="I541" t="s">
        <v>111</v>
      </c>
      <c r="J541" s="3">
        <v>41651</v>
      </c>
      <c r="K541">
        <v>12</v>
      </c>
      <c r="L541">
        <v>35</v>
      </c>
      <c r="M541" s="4">
        <v>10300</v>
      </c>
      <c r="N541" s="4">
        <v>150916</v>
      </c>
      <c r="O541" t="s">
        <v>68</v>
      </c>
      <c r="P541" t="s">
        <v>69</v>
      </c>
      <c r="Q541">
        <v>2.54</v>
      </c>
      <c r="R541">
        <v>59</v>
      </c>
      <c r="S541">
        <v>27</v>
      </c>
      <c r="T541" t="s">
        <v>69</v>
      </c>
      <c r="U541">
        <v>6</v>
      </c>
      <c r="V541">
        <v>1</v>
      </c>
      <c r="W541" t="s">
        <v>70</v>
      </c>
      <c r="X541" t="s">
        <v>68</v>
      </c>
      <c r="Y541" t="s">
        <v>71</v>
      </c>
      <c r="Z541" t="s">
        <v>96</v>
      </c>
    </row>
    <row r="542" spans="1:26" x14ac:dyDescent="0.2">
      <c r="A542" t="s">
        <v>1197</v>
      </c>
      <c r="B542" t="s">
        <v>390</v>
      </c>
      <c r="C542" t="s">
        <v>89</v>
      </c>
      <c r="D542" t="s">
        <v>230</v>
      </c>
      <c r="E542" t="s">
        <v>231</v>
      </c>
      <c r="F542" t="s">
        <v>64</v>
      </c>
      <c r="G542" t="s">
        <v>65</v>
      </c>
      <c r="H542" t="s">
        <v>78</v>
      </c>
      <c r="I542" t="s">
        <v>67</v>
      </c>
      <c r="J542" s="3">
        <v>45679</v>
      </c>
      <c r="K542">
        <v>0.9</v>
      </c>
      <c r="L542">
        <v>41</v>
      </c>
      <c r="M542" s="4">
        <v>6600</v>
      </c>
      <c r="N542" s="4">
        <v>102550</v>
      </c>
      <c r="O542" t="s">
        <v>68</v>
      </c>
      <c r="P542" t="s">
        <v>69</v>
      </c>
      <c r="Q542">
        <v>3.22</v>
      </c>
      <c r="R542">
        <v>66</v>
      </c>
      <c r="S542">
        <v>25</v>
      </c>
      <c r="T542" t="s">
        <v>69</v>
      </c>
      <c r="U542">
        <v>1</v>
      </c>
      <c r="V542">
        <v>9</v>
      </c>
      <c r="W542" t="s">
        <v>70</v>
      </c>
      <c r="X542" t="s">
        <v>68</v>
      </c>
      <c r="Y542" t="s">
        <v>71</v>
      </c>
      <c r="Z542" t="s">
        <v>89</v>
      </c>
    </row>
    <row r="543" spans="1:26" x14ac:dyDescent="0.2">
      <c r="A543" t="s">
        <v>1198</v>
      </c>
      <c r="B543" t="s">
        <v>813</v>
      </c>
      <c r="C543" t="s">
        <v>12</v>
      </c>
      <c r="D543" t="s">
        <v>421</v>
      </c>
      <c r="E543" t="s">
        <v>963</v>
      </c>
      <c r="F543" t="s">
        <v>136</v>
      </c>
      <c r="G543" t="s">
        <v>227</v>
      </c>
      <c r="H543" t="s">
        <v>66</v>
      </c>
      <c r="I543" t="s">
        <v>67</v>
      </c>
      <c r="J543" s="3">
        <v>41783</v>
      </c>
      <c r="K543">
        <v>11.6</v>
      </c>
      <c r="L543">
        <v>51</v>
      </c>
      <c r="M543" s="4">
        <v>15500</v>
      </c>
      <c r="N543" s="4">
        <v>243190</v>
      </c>
      <c r="O543" t="s">
        <v>68</v>
      </c>
      <c r="P543" t="s">
        <v>69</v>
      </c>
      <c r="Q543">
        <v>3.34</v>
      </c>
      <c r="R543">
        <v>52</v>
      </c>
      <c r="S543">
        <v>15</v>
      </c>
      <c r="T543" t="s">
        <v>68</v>
      </c>
      <c r="U543">
        <v>9</v>
      </c>
      <c r="V543">
        <v>14</v>
      </c>
      <c r="W543" t="s">
        <v>70</v>
      </c>
      <c r="X543" t="s">
        <v>68</v>
      </c>
      <c r="Y543" t="s">
        <v>71</v>
      </c>
      <c r="Z543" t="s">
        <v>12</v>
      </c>
    </row>
    <row r="544" spans="1:26" x14ac:dyDescent="0.2">
      <c r="A544" t="s">
        <v>1199</v>
      </c>
      <c r="B544" t="s">
        <v>1146</v>
      </c>
      <c r="C544" t="s">
        <v>74</v>
      </c>
      <c r="D544" t="s">
        <v>118</v>
      </c>
      <c r="E544" t="s">
        <v>530</v>
      </c>
      <c r="F544" t="s">
        <v>136</v>
      </c>
      <c r="G544" t="s">
        <v>85</v>
      </c>
      <c r="H544" t="s">
        <v>78</v>
      </c>
      <c r="I544" t="s">
        <v>79</v>
      </c>
      <c r="J544" s="3">
        <v>41982</v>
      </c>
      <c r="K544">
        <v>11.1</v>
      </c>
      <c r="L544">
        <v>27</v>
      </c>
      <c r="M544" s="4">
        <v>11500</v>
      </c>
      <c r="N544" s="4">
        <v>167178</v>
      </c>
      <c r="O544" t="s">
        <v>68</v>
      </c>
      <c r="P544" t="s">
        <v>68</v>
      </c>
      <c r="Q544">
        <v>3.45</v>
      </c>
      <c r="R544">
        <v>57</v>
      </c>
      <c r="S544">
        <v>11</v>
      </c>
      <c r="T544" t="s">
        <v>69</v>
      </c>
      <c r="U544">
        <v>9</v>
      </c>
      <c r="V544">
        <v>8</v>
      </c>
      <c r="W544" t="s">
        <v>70</v>
      </c>
      <c r="X544" t="s">
        <v>68</v>
      </c>
      <c r="Y544" t="s">
        <v>71</v>
      </c>
      <c r="Z544" t="s">
        <v>74</v>
      </c>
    </row>
    <row r="545" spans="1:26" x14ac:dyDescent="0.2">
      <c r="A545" t="s">
        <v>1200</v>
      </c>
      <c r="B545" t="s">
        <v>838</v>
      </c>
      <c r="C545" t="s">
        <v>89</v>
      </c>
      <c r="D545" t="s">
        <v>239</v>
      </c>
      <c r="E545" t="s">
        <v>372</v>
      </c>
      <c r="F545" t="s">
        <v>120</v>
      </c>
      <c r="G545" t="s">
        <v>65</v>
      </c>
      <c r="H545" t="s">
        <v>66</v>
      </c>
      <c r="I545" t="s">
        <v>67</v>
      </c>
      <c r="J545" s="3">
        <v>42545</v>
      </c>
      <c r="K545">
        <v>9.5</v>
      </c>
      <c r="L545">
        <v>40</v>
      </c>
      <c r="M545" s="4">
        <v>6600</v>
      </c>
      <c r="N545" s="4">
        <v>104584</v>
      </c>
      <c r="O545" t="s">
        <v>68</v>
      </c>
      <c r="P545" t="s">
        <v>69</v>
      </c>
      <c r="Q545">
        <v>3.54</v>
      </c>
      <c r="R545">
        <v>71</v>
      </c>
      <c r="S545">
        <v>34</v>
      </c>
      <c r="T545" t="s">
        <v>68</v>
      </c>
      <c r="U545">
        <v>8</v>
      </c>
      <c r="V545">
        <v>15</v>
      </c>
      <c r="W545" t="s">
        <v>70</v>
      </c>
      <c r="X545" t="s">
        <v>69</v>
      </c>
      <c r="Y545" t="s">
        <v>71</v>
      </c>
      <c r="Z545" t="s">
        <v>89</v>
      </c>
    </row>
    <row r="546" spans="1:26" x14ac:dyDescent="0.2">
      <c r="A546" t="s">
        <v>1201</v>
      </c>
      <c r="B546" t="s">
        <v>841</v>
      </c>
      <c r="C546" t="s">
        <v>89</v>
      </c>
      <c r="D546" t="s">
        <v>90</v>
      </c>
      <c r="E546" t="s">
        <v>91</v>
      </c>
      <c r="F546" t="s">
        <v>92</v>
      </c>
      <c r="G546" t="s">
        <v>65</v>
      </c>
      <c r="H546" t="s">
        <v>66</v>
      </c>
      <c r="I546" t="s">
        <v>67</v>
      </c>
      <c r="J546" s="3">
        <v>42535</v>
      </c>
      <c r="K546">
        <v>9.6</v>
      </c>
      <c r="L546">
        <v>41</v>
      </c>
      <c r="M546" s="4">
        <v>3900</v>
      </c>
      <c r="N546" s="4">
        <v>63077</v>
      </c>
      <c r="O546" t="s">
        <v>68</v>
      </c>
      <c r="P546" t="s">
        <v>69</v>
      </c>
      <c r="Q546">
        <v>3.1</v>
      </c>
      <c r="R546">
        <v>52</v>
      </c>
      <c r="S546">
        <v>23</v>
      </c>
      <c r="T546" t="s">
        <v>69</v>
      </c>
      <c r="U546">
        <v>2</v>
      </c>
      <c r="V546">
        <v>8</v>
      </c>
      <c r="W546" t="s">
        <v>70</v>
      </c>
      <c r="X546" t="s">
        <v>68</v>
      </c>
      <c r="Y546" t="s">
        <v>86</v>
      </c>
      <c r="Z546" t="s">
        <v>89</v>
      </c>
    </row>
    <row r="547" spans="1:26" x14ac:dyDescent="0.2">
      <c r="A547" t="s">
        <v>1202</v>
      </c>
      <c r="B547" t="s">
        <v>1203</v>
      </c>
      <c r="C547" t="s">
        <v>12</v>
      </c>
      <c r="D547" t="s">
        <v>82</v>
      </c>
      <c r="E547" t="s">
        <v>982</v>
      </c>
      <c r="F547" t="s">
        <v>120</v>
      </c>
      <c r="G547" t="s">
        <v>65</v>
      </c>
      <c r="H547" t="s">
        <v>66</v>
      </c>
      <c r="I547" t="s">
        <v>99</v>
      </c>
      <c r="J547" s="3">
        <v>44897</v>
      </c>
      <c r="K547">
        <v>3.1</v>
      </c>
      <c r="L547">
        <v>41</v>
      </c>
      <c r="M547" s="4">
        <v>10000</v>
      </c>
      <c r="N547" s="4">
        <v>149148</v>
      </c>
      <c r="O547" t="s">
        <v>68</v>
      </c>
      <c r="P547" t="s">
        <v>68</v>
      </c>
      <c r="Q547">
        <v>2.5499999999999998</v>
      </c>
      <c r="R547">
        <v>56</v>
      </c>
      <c r="S547">
        <v>28</v>
      </c>
      <c r="T547" t="s">
        <v>69</v>
      </c>
      <c r="U547">
        <v>12</v>
      </c>
      <c r="V547">
        <v>8</v>
      </c>
      <c r="W547" t="s">
        <v>70</v>
      </c>
      <c r="X547" t="s">
        <v>68</v>
      </c>
      <c r="Y547" t="s">
        <v>71</v>
      </c>
      <c r="Z547" t="s">
        <v>12</v>
      </c>
    </row>
    <row r="548" spans="1:26" x14ac:dyDescent="0.2">
      <c r="A548" t="s">
        <v>1204</v>
      </c>
      <c r="B548" t="s">
        <v>172</v>
      </c>
      <c r="C548" t="s">
        <v>102</v>
      </c>
      <c r="D548" t="s">
        <v>183</v>
      </c>
      <c r="E548" t="s">
        <v>415</v>
      </c>
      <c r="F548" t="s">
        <v>77</v>
      </c>
      <c r="G548" t="s">
        <v>65</v>
      </c>
      <c r="H548" t="s">
        <v>66</v>
      </c>
      <c r="I548" t="s">
        <v>99</v>
      </c>
      <c r="J548" s="3">
        <v>44016</v>
      </c>
      <c r="K548">
        <v>5.5</v>
      </c>
      <c r="L548">
        <v>40</v>
      </c>
      <c r="M548" s="4">
        <v>8300</v>
      </c>
      <c r="N548" s="4">
        <v>132487</v>
      </c>
      <c r="O548" t="s">
        <v>68</v>
      </c>
      <c r="P548" t="s">
        <v>69</v>
      </c>
      <c r="Q548">
        <v>3.23</v>
      </c>
      <c r="R548">
        <v>62</v>
      </c>
      <c r="S548">
        <v>42</v>
      </c>
      <c r="T548" t="s">
        <v>69</v>
      </c>
      <c r="U548">
        <v>4</v>
      </c>
      <c r="V548">
        <v>34</v>
      </c>
      <c r="W548" t="s">
        <v>70</v>
      </c>
      <c r="X548" t="s">
        <v>68</v>
      </c>
      <c r="Y548" t="s">
        <v>71</v>
      </c>
      <c r="Z548" t="s">
        <v>102</v>
      </c>
    </row>
    <row r="549" spans="1:26" x14ac:dyDescent="0.2">
      <c r="A549" t="s">
        <v>1205</v>
      </c>
      <c r="B549" t="s">
        <v>718</v>
      </c>
      <c r="C549" t="s">
        <v>108</v>
      </c>
      <c r="D549" t="s">
        <v>194</v>
      </c>
      <c r="E549" t="s">
        <v>825</v>
      </c>
      <c r="F549" t="s">
        <v>136</v>
      </c>
      <c r="G549" t="s">
        <v>65</v>
      </c>
      <c r="H549" t="s">
        <v>66</v>
      </c>
      <c r="I549" t="s">
        <v>93</v>
      </c>
      <c r="J549" s="3">
        <v>40917</v>
      </c>
      <c r="K549">
        <v>14</v>
      </c>
      <c r="L549">
        <v>59</v>
      </c>
      <c r="M549" s="4">
        <v>13600</v>
      </c>
      <c r="N549" s="4">
        <v>215895</v>
      </c>
      <c r="O549" t="s">
        <v>68</v>
      </c>
      <c r="P549" t="s">
        <v>69</v>
      </c>
      <c r="Q549">
        <v>2.93</v>
      </c>
      <c r="R549">
        <v>64</v>
      </c>
      <c r="S549">
        <v>13</v>
      </c>
      <c r="T549" t="s">
        <v>69</v>
      </c>
      <c r="U549">
        <v>9</v>
      </c>
      <c r="V549">
        <v>15</v>
      </c>
      <c r="W549" t="s">
        <v>70</v>
      </c>
      <c r="X549" t="s">
        <v>68</v>
      </c>
      <c r="Y549" t="s">
        <v>71</v>
      </c>
      <c r="Z549" t="s">
        <v>108</v>
      </c>
    </row>
    <row r="550" spans="1:26" x14ac:dyDescent="0.2">
      <c r="A550" t="s">
        <v>1206</v>
      </c>
      <c r="B550" t="s">
        <v>417</v>
      </c>
      <c r="C550" t="s">
        <v>89</v>
      </c>
      <c r="D550" t="s">
        <v>239</v>
      </c>
      <c r="E550" t="s">
        <v>580</v>
      </c>
      <c r="F550" t="s">
        <v>77</v>
      </c>
      <c r="G550" t="s">
        <v>65</v>
      </c>
      <c r="H550" t="s">
        <v>66</v>
      </c>
      <c r="I550" t="s">
        <v>105</v>
      </c>
      <c r="J550" s="3">
        <v>41990</v>
      </c>
      <c r="K550">
        <v>11</v>
      </c>
      <c r="L550">
        <v>38</v>
      </c>
      <c r="M550" s="4">
        <v>10100</v>
      </c>
      <c r="N550" s="4">
        <v>149754</v>
      </c>
      <c r="O550" t="s">
        <v>68</v>
      </c>
      <c r="P550" t="s">
        <v>69</v>
      </c>
      <c r="Q550">
        <v>2.78</v>
      </c>
      <c r="R550">
        <v>59</v>
      </c>
      <c r="S550">
        <v>46</v>
      </c>
      <c r="T550" t="s">
        <v>69</v>
      </c>
      <c r="U550">
        <v>7</v>
      </c>
      <c r="V550">
        <v>39</v>
      </c>
      <c r="W550" t="s">
        <v>70</v>
      </c>
      <c r="X550" t="s">
        <v>68</v>
      </c>
      <c r="Y550" t="s">
        <v>86</v>
      </c>
      <c r="Z550" t="s">
        <v>89</v>
      </c>
    </row>
    <row r="551" spans="1:26" x14ac:dyDescent="0.2">
      <c r="A551" t="s">
        <v>1207</v>
      </c>
      <c r="B551" t="s">
        <v>670</v>
      </c>
      <c r="C551" t="s">
        <v>74</v>
      </c>
      <c r="D551" t="s">
        <v>139</v>
      </c>
      <c r="E551" t="s">
        <v>140</v>
      </c>
      <c r="F551" t="s">
        <v>64</v>
      </c>
      <c r="G551" t="s">
        <v>65</v>
      </c>
      <c r="H551" t="s">
        <v>78</v>
      </c>
      <c r="I551" t="s">
        <v>67</v>
      </c>
      <c r="J551" s="3">
        <v>45555</v>
      </c>
      <c r="K551">
        <v>1.3</v>
      </c>
      <c r="L551">
        <v>24</v>
      </c>
      <c r="M551" s="4">
        <v>6500</v>
      </c>
      <c r="N551" s="4">
        <v>98100</v>
      </c>
      <c r="O551" t="s">
        <v>68</v>
      </c>
      <c r="P551" t="s">
        <v>68</v>
      </c>
      <c r="Q551">
        <v>3.31</v>
      </c>
      <c r="R551">
        <v>55</v>
      </c>
      <c r="S551">
        <v>6</v>
      </c>
      <c r="T551" t="s">
        <v>68</v>
      </c>
      <c r="U551">
        <v>0</v>
      </c>
      <c r="V551">
        <v>38</v>
      </c>
      <c r="W551" t="s">
        <v>70</v>
      </c>
      <c r="X551" t="s">
        <v>68</v>
      </c>
      <c r="Y551" t="s">
        <v>86</v>
      </c>
      <c r="Z551" t="s">
        <v>74</v>
      </c>
    </row>
    <row r="552" spans="1:26" x14ac:dyDescent="0.2">
      <c r="A552" t="s">
        <v>1208</v>
      </c>
      <c r="B552" t="s">
        <v>1209</v>
      </c>
      <c r="C552" t="s">
        <v>102</v>
      </c>
      <c r="D552" t="s">
        <v>339</v>
      </c>
      <c r="E552" t="s">
        <v>340</v>
      </c>
      <c r="F552" t="s">
        <v>77</v>
      </c>
      <c r="G552" t="s">
        <v>85</v>
      </c>
      <c r="H552" t="s">
        <v>66</v>
      </c>
      <c r="I552" t="s">
        <v>148</v>
      </c>
      <c r="J552" s="3">
        <v>45232</v>
      </c>
      <c r="K552">
        <v>2.2000000000000002</v>
      </c>
      <c r="L552">
        <v>42</v>
      </c>
      <c r="M552" s="4">
        <v>10700</v>
      </c>
      <c r="N552" s="4">
        <v>163630</v>
      </c>
      <c r="O552" t="s">
        <v>68</v>
      </c>
      <c r="P552" t="s">
        <v>69</v>
      </c>
      <c r="Q552">
        <v>3.11</v>
      </c>
      <c r="R552">
        <v>48</v>
      </c>
      <c r="S552">
        <v>37</v>
      </c>
      <c r="T552" t="s">
        <v>69</v>
      </c>
      <c r="U552">
        <v>9</v>
      </c>
      <c r="V552">
        <v>56</v>
      </c>
      <c r="W552" t="s">
        <v>70</v>
      </c>
      <c r="X552" t="s">
        <v>68</v>
      </c>
      <c r="Y552" t="s">
        <v>86</v>
      </c>
      <c r="Z552" t="s">
        <v>102</v>
      </c>
    </row>
    <row r="553" spans="1:26" x14ac:dyDescent="0.2">
      <c r="A553" t="s">
        <v>1210</v>
      </c>
      <c r="B553" t="s">
        <v>292</v>
      </c>
      <c r="C553" t="s">
        <v>61</v>
      </c>
      <c r="D553" t="s">
        <v>604</v>
      </c>
      <c r="E553" t="s">
        <v>897</v>
      </c>
      <c r="F553" t="s">
        <v>77</v>
      </c>
      <c r="G553" t="s">
        <v>65</v>
      </c>
      <c r="H553" t="s">
        <v>66</v>
      </c>
      <c r="I553" t="s">
        <v>148</v>
      </c>
      <c r="J553" s="3">
        <v>42293</v>
      </c>
      <c r="K553">
        <v>10.199999999999999</v>
      </c>
      <c r="L553">
        <v>27</v>
      </c>
      <c r="M553" s="4">
        <v>12200</v>
      </c>
      <c r="N553" s="4">
        <v>198344</v>
      </c>
      <c r="O553" t="s">
        <v>68</v>
      </c>
      <c r="P553" t="s">
        <v>68</v>
      </c>
      <c r="Q553">
        <v>2.31</v>
      </c>
      <c r="R553">
        <v>59</v>
      </c>
      <c r="S553">
        <v>46</v>
      </c>
      <c r="T553" t="s">
        <v>69</v>
      </c>
      <c r="U553">
        <v>3</v>
      </c>
      <c r="V553">
        <v>27</v>
      </c>
      <c r="W553" t="s">
        <v>70</v>
      </c>
      <c r="X553" t="s">
        <v>68</v>
      </c>
      <c r="Y553" t="s">
        <v>71</v>
      </c>
      <c r="Z553" t="s">
        <v>61</v>
      </c>
    </row>
    <row r="554" spans="1:26" x14ac:dyDescent="0.2">
      <c r="A554" t="s">
        <v>1211</v>
      </c>
      <c r="B554" t="s">
        <v>629</v>
      </c>
      <c r="C554" t="s">
        <v>102</v>
      </c>
      <c r="D554" t="s">
        <v>166</v>
      </c>
      <c r="E554" t="s">
        <v>1059</v>
      </c>
      <c r="F554" t="s">
        <v>92</v>
      </c>
      <c r="G554" t="s">
        <v>85</v>
      </c>
      <c r="H554" t="s">
        <v>66</v>
      </c>
      <c r="I554" t="s">
        <v>67</v>
      </c>
      <c r="J554" s="3">
        <v>44011</v>
      </c>
      <c r="K554">
        <v>5.5</v>
      </c>
      <c r="L554">
        <v>29</v>
      </c>
      <c r="M554" s="4">
        <v>5400</v>
      </c>
      <c r="N554" s="4">
        <v>86759</v>
      </c>
      <c r="O554" t="s">
        <v>68</v>
      </c>
      <c r="P554" t="s">
        <v>69</v>
      </c>
      <c r="Q554">
        <v>3.49</v>
      </c>
      <c r="R554">
        <v>62</v>
      </c>
      <c r="S554">
        <v>10</v>
      </c>
      <c r="T554" t="s">
        <v>68</v>
      </c>
      <c r="U554">
        <v>6</v>
      </c>
      <c r="V554">
        <v>28</v>
      </c>
      <c r="W554" t="s">
        <v>70</v>
      </c>
      <c r="X554" t="s">
        <v>68</v>
      </c>
      <c r="Y554" t="s">
        <v>86</v>
      </c>
      <c r="Z554" t="s">
        <v>102</v>
      </c>
    </row>
    <row r="555" spans="1:26" x14ac:dyDescent="0.2">
      <c r="A555" t="s">
        <v>1212</v>
      </c>
      <c r="B555" t="s">
        <v>485</v>
      </c>
      <c r="C555" t="s">
        <v>12</v>
      </c>
      <c r="D555" t="s">
        <v>82</v>
      </c>
      <c r="E555" t="s">
        <v>520</v>
      </c>
      <c r="F555" t="s">
        <v>77</v>
      </c>
      <c r="G555" t="s">
        <v>65</v>
      </c>
      <c r="H555" t="s">
        <v>78</v>
      </c>
      <c r="I555" t="s">
        <v>99</v>
      </c>
      <c r="J555" s="3">
        <v>42815</v>
      </c>
      <c r="K555">
        <v>8.8000000000000007</v>
      </c>
      <c r="L555">
        <v>26</v>
      </c>
      <c r="M555" s="4">
        <v>9000</v>
      </c>
      <c r="N555" s="4">
        <v>139844</v>
      </c>
      <c r="O555" t="s">
        <v>68</v>
      </c>
      <c r="P555" t="s">
        <v>68</v>
      </c>
      <c r="Q555">
        <v>2.98</v>
      </c>
      <c r="R555">
        <v>76</v>
      </c>
      <c r="S555">
        <v>14</v>
      </c>
      <c r="T555" t="s">
        <v>69</v>
      </c>
      <c r="U555">
        <v>10</v>
      </c>
      <c r="V555">
        <v>5</v>
      </c>
      <c r="W555" t="s">
        <v>70</v>
      </c>
      <c r="X555" t="s">
        <v>68</v>
      </c>
      <c r="Y555" t="s">
        <v>71</v>
      </c>
      <c r="Z555" t="s">
        <v>12</v>
      </c>
    </row>
    <row r="556" spans="1:26" x14ac:dyDescent="0.2">
      <c r="A556" t="s">
        <v>1213</v>
      </c>
      <c r="B556" t="s">
        <v>656</v>
      </c>
      <c r="C556" t="s">
        <v>133</v>
      </c>
      <c r="D556" t="s">
        <v>287</v>
      </c>
      <c r="E556" t="s">
        <v>288</v>
      </c>
      <c r="F556" t="s">
        <v>64</v>
      </c>
      <c r="G556" t="s">
        <v>85</v>
      </c>
      <c r="H556" t="s">
        <v>78</v>
      </c>
      <c r="I556" t="s">
        <v>67</v>
      </c>
      <c r="J556" s="3">
        <v>45612</v>
      </c>
      <c r="K556">
        <v>1.1000000000000001</v>
      </c>
      <c r="L556">
        <v>45</v>
      </c>
      <c r="M556" s="4">
        <v>6400</v>
      </c>
      <c r="N556" s="4">
        <v>93538</v>
      </c>
      <c r="O556" t="s">
        <v>68</v>
      </c>
      <c r="P556" t="s">
        <v>68</v>
      </c>
      <c r="Q556">
        <v>3.58</v>
      </c>
      <c r="R556">
        <v>45</v>
      </c>
      <c r="S556">
        <v>29</v>
      </c>
      <c r="T556" t="s">
        <v>69</v>
      </c>
      <c r="U556">
        <v>1</v>
      </c>
      <c r="V556">
        <v>10</v>
      </c>
      <c r="W556" t="s">
        <v>70</v>
      </c>
      <c r="X556" t="s">
        <v>69</v>
      </c>
      <c r="Y556" t="s">
        <v>86</v>
      </c>
      <c r="Z556" t="s">
        <v>133</v>
      </c>
    </row>
    <row r="557" spans="1:26" x14ac:dyDescent="0.2">
      <c r="A557" t="s">
        <v>1214</v>
      </c>
      <c r="B557" t="s">
        <v>967</v>
      </c>
      <c r="C557" t="s">
        <v>102</v>
      </c>
      <c r="D557" t="s">
        <v>103</v>
      </c>
      <c r="E557" t="s">
        <v>1215</v>
      </c>
      <c r="F557" t="s">
        <v>84</v>
      </c>
      <c r="G557" t="s">
        <v>65</v>
      </c>
      <c r="H557" t="s">
        <v>66</v>
      </c>
      <c r="I557" t="s">
        <v>99</v>
      </c>
      <c r="J557" s="3">
        <v>41856</v>
      </c>
      <c r="K557">
        <v>11.4</v>
      </c>
      <c r="L557">
        <v>60</v>
      </c>
      <c r="M557" s="4">
        <v>21200</v>
      </c>
      <c r="N557" s="4">
        <v>315757</v>
      </c>
      <c r="O557" t="s">
        <v>69</v>
      </c>
      <c r="P557" t="s">
        <v>69</v>
      </c>
      <c r="Q557">
        <v>2.73</v>
      </c>
      <c r="R557">
        <v>56</v>
      </c>
      <c r="S557">
        <v>46</v>
      </c>
      <c r="T557" t="s">
        <v>69</v>
      </c>
      <c r="U557">
        <v>5</v>
      </c>
      <c r="V557">
        <v>19</v>
      </c>
      <c r="W557" t="s">
        <v>69</v>
      </c>
      <c r="X557" t="s">
        <v>68</v>
      </c>
      <c r="Y557" t="s">
        <v>71</v>
      </c>
      <c r="Z557" t="s">
        <v>102</v>
      </c>
    </row>
    <row r="558" spans="1:26" x14ac:dyDescent="0.2">
      <c r="A558" t="s">
        <v>1216</v>
      </c>
      <c r="B558" t="s">
        <v>507</v>
      </c>
      <c r="C558" t="s">
        <v>102</v>
      </c>
      <c r="D558" t="s">
        <v>166</v>
      </c>
      <c r="E558" t="s">
        <v>167</v>
      </c>
      <c r="F558" t="s">
        <v>136</v>
      </c>
      <c r="G558" t="s">
        <v>215</v>
      </c>
      <c r="H558" t="s">
        <v>78</v>
      </c>
      <c r="I558" t="s">
        <v>99</v>
      </c>
      <c r="J558" s="3">
        <v>44688</v>
      </c>
      <c r="K558">
        <v>3.7</v>
      </c>
      <c r="L558">
        <v>28</v>
      </c>
      <c r="M558" s="4">
        <v>14100</v>
      </c>
      <c r="N558" s="4">
        <v>227146</v>
      </c>
      <c r="O558" t="s">
        <v>68</v>
      </c>
      <c r="P558" t="s">
        <v>69</v>
      </c>
      <c r="Q558">
        <v>2.77</v>
      </c>
      <c r="R558">
        <v>55</v>
      </c>
      <c r="S558">
        <v>23</v>
      </c>
      <c r="T558" t="s">
        <v>69</v>
      </c>
      <c r="U558">
        <v>8</v>
      </c>
      <c r="V558">
        <v>31</v>
      </c>
      <c r="W558" t="s">
        <v>70</v>
      </c>
      <c r="X558" t="s">
        <v>68</v>
      </c>
      <c r="Y558" t="s">
        <v>86</v>
      </c>
      <c r="Z558" t="s">
        <v>102</v>
      </c>
    </row>
    <row r="559" spans="1:26" x14ac:dyDescent="0.2">
      <c r="A559" t="s">
        <v>1217</v>
      </c>
      <c r="B559" t="s">
        <v>873</v>
      </c>
      <c r="C559" t="s">
        <v>108</v>
      </c>
      <c r="D559" t="s">
        <v>222</v>
      </c>
      <c r="E559" t="s">
        <v>693</v>
      </c>
      <c r="F559" t="s">
        <v>64</v>
      </c>
      <c r="G559" t="s">
        <v>65</v>
      </c>
      <c r="H559" t="s">
        <v>78</v>
      </c>
      <c r="I559" t="s">
        <v>67</v>
      </c>
      <c r="J559" s="3">
        <v>42109</v>
      </c>
      <c r="K559">
        <v>10.7</v>
      </c>
      <c r="L559">
        <v>22</v>
      </c>
      <c r="M559" s="4">
        <v>6600</v>
      </c>
      <c r="N559" s="4">
        <v>107000</v>
      </c>
      <c r="O559" t="s">
        <v>68</v>
      </c>
      <c r="P559" t="s">
        <v>69</v>
      </c>
      <c r="Q559">
        <v>2.29</v>
      </c>
      <c r="R559">
        <v>68</v>
      </c>
      <c r="S559">
        <v>16</v>
      </c>
      <c r="T559" t="s">
        <v>68</v>
      </c>
      <c r="U559">
        <v>0</v>
      </c>
      <c r="V559">
        <v>0</v>
      </c>
      <c r="W559" t="s">
        <v>70</v>
      </c>
      <c r="X559" t="s">
        <v>68</v>
      </c>
      <c r="Y559" t="s">
        <v>71</v>
      </c>
      <c r="Z559" t="s">
        <v>108</v>
      </c>
    </row>
    <row r="560" spans="1:26" x14ac:dyDescent="0.2">
      <c r="A560" t="s">
        <v>1218</v>
      </c>
      <c r="B560" t="s">
        <v>695</v>
      </c>
      <c r="C560" t="s">
        <v>108</v>
      </c>
      <c r="D560" t="s">
        <v>109</v>
      </c>
      <c r="E560" t="s">
        <v>264</v>
      </c>
      <c r="F560" t="s">
        <v>64</v>
      </c>
      <c r="G560" t="s">
        <v>65</v>
      </c>
      <c r="H560" t="s">
        <v>66</v>
      </c>
      <c r="I560" t="s">
        <v>111</v>
      </c>
      <c r="J560" s="3">
        <v>45735</v>
      </c>
      <c r="K560">
        <v>0.8</v>
      </c>
      <c r="L560">
        <v>47</v>
      </c>
      <c r="M560" s="4">
        <v>7000</v>
      </c>
      <c r="N560" s="4">
        <v>111919</v>
      </c>
      <c r="O560" t="s">
        <v>68</v>
      </c>
      <c r="P560" t="s">
        <v>69</v>
      </c>
      <c r="Q560">
        <v>2.91</v>
      </c>
      <c r="R560">
        <v>63</v>
      </c>
      <c r="S560">
        <v>24</v>
      </c>
      <c r="T560" t="s">
        <v>69</v>
      </c>
      <c r="U560">
        <v>5</v>
      </c>
      <c r="V560">
        <v>17</v>
      </c>
      <c r="W560" t="s">
        <v>70</v>
      </c>
      <c r="X560" t="s">
        <v>68</v>
      </c>
      <c r="Y560" t="s">
        <v>71</v>
      </c>
      <c r="Z560" t="s">
        <v>108</v>
      </c>
    </row>
    <row r="561" spans="1:26" x14ac:dyDescent="0.2">
      <c r="A561" t="s">
        <v>1219</v>
      </c>
      <c r="B561" t="s">
        <v>1220</v>
      </c>
      <c r="C561" t="s">
        <v>108</v>
      </c>
      <c r="D561" t="s">
        <v>194</v>
      </c>
      <c r="E561" t="s">
        <v>1221</v>
      </c>
      <c r="F561" t="s">
        <v>84</v>
      </c>
      <c r="G561" t="s">
        <v>65</v>
      </c>
      <c r="H561" t="s">
        <v>78</v>
      </c>
      <c r="I561" t="s">
        <v>67</v>
      </c>
      <c r="J561" s="3">
        <v>42227</v>
      </c>
      <c r="K561">
        <v>10.4</v>
      </c>
      <c r="L561">
        <v>26</v>
      </c>
      <c r="M561" s="4">
        <v>21400</v>
      </c>
      <c r="N561" s="4">
        <v>324334</v>
      </c>
      <c r="O561" t="s">
        <v>69</v>
      </c>
      <c r="P561" t="s">
        <v>69</v>
      </c>
      <c r="Q561">
        <v>3.52</v>
      </c>
      <c r="R561">
        <v>71</v>
      </c>
      <c r="S561">
        <v>33</v>
      </c>
      <c r="T561" t="s">
        <v>69</v>
      </c>
      <c r="U561">
        <v>3</v>
      </c>
      <c r="V561">
        <v>44</v>
      </c>
      <c r="W561" t="s">
        <v>69</v>
      </c>
      <c r="X561" t="s">
        <v>69</v>
      </c>
      <c r="Y561" t="s">
        <v>71</v>
      </c>
      <c r="Z561" t="s">
        <v>108</v>
      </c>
    </row>
    <row r="562" spans="1:26" x14ac:dyDescent="0.2">
      <c r="A562" t="s">
        <v>1222</v>
      </c>
      <c r="B562" t="s">
        <v>412</v>
      </c>
      <c r="C562" t="s">
        <v>74</v>
      </c>
      <c r="D562" t="s">
        <v>118</v>
      </c>
      <c r="E562" t="s">
        <v>1053</v>
      </c>
      <c r="F562" t="s">
        <v>92</v>
      </c>
      <c r="G562" t="s">
        <v>65</v>
      </c>
      <c r="H562" t="s">
        <v>66</v>
      </c>
      <c r="I562" t="s">
        <v>455</v>
      </c>
      <c r="J562" s="3">
        <v>45940</v>
      </c>
      <c r="K562">
        <v>0.2</v>
      </c>
      <c r="L562">
        <v>52</v>
      </c>
      <c r="M562" s="4">
        <v>4800</v>
      </c>
      <c r="N562" s="4">
        <v>70175</v>
      </c>
      <c r="O562" t="s">
        <v>68</v>
      </c>
      <c r="P562" t="s">
        <v>68</v>
      </c>
      <c r="Q562">
        <v>3.93</v>
      </c>
      <c r="R562">
        <v>62</v>
      </c>
      <c r="S562">
        <v>31</v>
      </c>
      <c r="T562" t="s">
        <v>69</v>
      </c>
      <c r="U562">
        <v>7</v>
      </c>
      <c r="V562">
        <v>15</v>
      </c>
      <c r="W562" t="s">
        <v>70</v>
      </c>
      <c r="X562" t="s">
        <v>69</v>
      </c>
      <c r="Y562" t="s">
        <v>71</v>
      </c>
      <c r="Z562" t="s">
        <v>74</v>
      </c>
    </row>
    <row r="563" spans="1:26" x14ac:dyDescent="0.2">
      <c r="A563" t="s">
        <v>1223</v>
      </c>
      <c r="B563" t="s">
        <v>365</v>
      </c>
      <c r="C563" t="s">
        <v>96</v>
      </c>
      <c r="D563" t="s">
        <v>97</v>
      </c>
      <c r="E563" t="s">
        <v>98</v>
      </c>
      <c r="F563" t="s">
        <v>77</v>
      </c>
      <c r="G563" t="s">
        <v>65</v>
      </c>
      <c r="H563" t="s">
        <v>78</v>
      </c>
      <c r="I563" t="s">
        <v>67</v>
      </c>
      <c r="J563" s="3">
        <v>45039</v>
      </c>
      <c r="K563">
        <v>2.7</v>
      </c>
      <c r="L563">
        <v>39</v>
      </c>
      <c r="M563" s="4">
        <v>11600</v>
      </c>
      <c r="N563" s="4">
        <v>164759</v>
      </c>
      <c r="O563" t="s">
        <v>68</v>
      </c>
      <c r="P563" t="s">
        <v>69</v>
      </c>
      <c r="Q563">
        <v>2.41</v>
      </c>
      <c r="R563">
        <v>58</v>
      </c>
      <c r="S563">
        <v>17</v>
      </c>
      <c r="T563" t="s">
        <v>69</v>
      </c>
      <c r="U563">
        <v>5</v>
      </c>
      <c r="V563">
        <v>0</v>
      </c>
      <c r="W563" t="s">
        <v>70</v>
      </c>
      <c r="X563" t="s">
        <v>68</v>
      </c>
      <c r="Y563" t="s">
        <v>71</v>
      </c>
      <c r="Z563" t="s">
        <v>96</v>
      </c>
    </row>
    <row r="564" spans="1:26" x14ac:dyDescent="0.2">
      <c r="A564" t="s">
        <v>1224</v>
      </c>
      <c r="B564" t="s">
        <v>221</v>
      </c>
      <c r="C564" t="s">
        <v>102</v>
      </c>
      <c r="D564" t="s">
        <v>183</v>
      </c>
      <c r="E564" t="s">
        <v>1020</v>
      </c>
      <c r="F564" t="s">
        <v>64</v>
      </c>
      <c r="G564" t="s">
        <v>65</v>
      </c>
      <c r="H564" t="s">
        <v>78</v>
      </c>
      <c r="I564" t="s">
        <v>67</v>
      </c>
      <c r="J564" s="3">
        <v>41191</v>
      </c>
      <c r="K564">
        <v>13.2</v>
      </c>
      <c r="L564">
        <v>23</v>
      </c>
      <c r="M564" s="4">
        <v>6700</v>
      </c>
      <c r="N564" s="4">
        <v>103715</v>
      </c>
      <c r="O564" t="s">
        <v>68</v>
      </c>
      <c r="P564" t="s">
        <v>69</v>
      </c>
      <c r="Q564">
        <v>4</v>
      </c>
      <c r="R564">
        <v>67</v>
      </c>
      <c r="S564">
        <v>44</v>
      </c>
      <c r="T564" t="s">
        <v>69</v>
      </c>
      <c r="U564">
        <v>6</v>
      </c>
      <c r="V564">
        <v>28</v>
      </c>
      <c r="W564" t="s">
        <v>70</v>
      </c>
      <c r="X564" t="s">
        <v>69</v>
      </c>
      <c r="Y564" t="s">
        <v>86</v>
      </c>
      <c r="Z564" t="s">
        <v>102</v>
      </c>
    </row>
    <row r="565" spans="1:26" x14ac:dyDescent="0.2">
      <c r="A565" t="s">
        <v>1225</v>
      </c>
      <c r="B565" t="s">
        <v>283</v>
      </c>
      <c r="C565" t="s">
        <v>89</v>
      </c>
      <c r="D565" t="s">
        <v>230</v>
      </c>
      <c r="E565" t="s">
        <v>586</v>
      </c>
      <c r="F565" t="s">
        <v>92</v>
      </c>
      <c r="G565" t="s">
        <v>65</v>
      </c>
      <c r="H565" t="s">
        <v>66</v>
      </c>
      <c r="I565" t="s">
        <v>455</v>
      </c>
      <c r="J565" s="3">
        <v>42089</v>
      </c>
      <c r="K565">
        <v>10.8</v>
      </c>
      <c r="L565">
        <v>47</v>
      </c>
      <c r="M565" s="4">
        <v>3700</v>
      </c>
      <c r="N565" s="4">
        <v>60796</v>
      </c>
      <c r="O565" t="s">
        <v>68</v>
      </c>
      <c r="P565" t="s">
        <v>69</v>
      </c>
      <c r="Q565">
        <v>3.11</v>
      </c>
      <c r="R565">
        <v>63</v>
      </c>
      <c r="S565">
        <v>20</v>
      </c>
      <c r="T565" t="s">
        <v>69</v>
      </c>
      <c r="U565">
        <v>4</v>
      </c>
      <c r="V565">
        <v>78</v>
      </c>
      <c r="W565" t="s">
        <v>70</v>
      </c>
      <c r="X565" t="s">
        <v>68</v>
      </c>
      <c r="Y565" t="s">
        <v>86</v>
      </c>
      <c r="Z565" t="s">
        <v>89</v>
      </c>
    </row>
    <row r="566" spans="1:26" x14ac:dyDescent="0.2">
      <c r="A566" t="s">
        <v>1226</v>
      </c>
      <c r="B566" t="s">
        <v>1052</v>
      </c>
      <c r="C566" t="s">
        <v>12</v>
      </c>
      <c r="D566" t="s">
        <v>249</v>
      </c>
      <c r="E566" t="s">
        <v>1227</v>
      </c>
      <c r="F566" t="s">
        <v>77</v>
      </c>
      <c r="G566" t="s">
        <v>65</v>
      </c>
      <c r="H566" t="s">
        <v>66</v>
      </c>
      <c r="I566" t="s">
        <v>111</v>
      </c>
      <c r="J566" s="3">
        <v>42292</v>
      </c>
      <c r="K566">
        <v>10.199999999999999</v>
      </c>
      <c r="L566">
        <v>58</v>
      </c>
      <c r="M566" s="4">
        <v>10900</v>
      </c>
      <c r="N566" s="4">
        <v>165647</v>
      </c>
      <c r="O566" t="s">
        <v>68</v>
      </c>
      <c r="P566" t="s">
        <v>68</v>
      </c>
      <c r="Q566">
        <v>2.67</v>
      </c>
      <c r="R566">
        <v>64</v>
      </c>
      <c r="S566">
        <v>15</v>
      </c>
      <c r="T566" t="s">
        <v>69</v>
      </c>
      <c r="U566">
        <v>0</v>
      </c>
      <c r="V566">
        <v>28</v>
      </c>
      <c r="W566" t="s">
        <v>70</v>
      </c>
      <c r="X566" t="s">
        <v>68</v>
      </c>
      <c r="Y566" t="s">
        <v>71</v>
      </c>
      <c r="Z566" t="s">
        <v>12</v>
      </c>
    </row>
    <row r="567" spans="1:26" x14ac:dyDescent="0.2">
      <c r="A567" t="s">
        <v>1228</v>
      </c>
      <c r="B567" t="s">
        <v>564</v>
      </c>
      <c r="C567" t="s">
        <v>133</v>
      </c>
      <c r="D567" t="s">
        <v>287</v>
      </c>
      <c r="E567" t="s">
        <v>1173</v>
      </c>
      <c r="F567" t="s">
        <v>77</v>
      </c>
      <c r="G567" t="s">
        <v>65</v>
      </c>
      <c r="H567" t="s">
        <v>78</v>
      </c>
      <c r="I567" t="s">
        <v>115</v>
      </c>
      <c r="J567" s="3">
        <v>45055</v>
      </c>
      <c r="K567">
        <v>2.7</v>
      </c>
      <c r="L567">
        <v>33</v>
      </c>
      <c r="M567" s="4">
        <v>11200</v>
      </c>
      <c r="N567" s="4">
        <v>165282</v>
      </c>
      <c r="O567" t="s">
        <v>68</v>
      </c>
      <c r="P567" t="s">
        <v>69</v>
      </c>
      <c r="Q567">
        <v>4</v>
      </c>
      <c r="R567">
        <v>95</v>
      </c>
      <c r="S567">
        <v>13</v>
      </c>
      <c r="T567" t="s">
        <v>69</v>
      </c>
      <c r="U567">
        <v>0</v>
      </c>
      <c r="V567">
        <v>0</v>
      </c>
      <c r="W567" t="s">
        <v>70</v>
      </c>
      <c r="X567" t="s">
        <v>69</v>
      </c>
      <c r="Y567" t="s">
        <v>71</v>
      </c>
      <c r="Z567" t="s">
        <v>133</v>
      </c>
    </row>
    <row r="568" spans="1:26" x14ac:dyDescent="0.2">
      <c r="A568" t="s">
        <v>1229</v>
      </c>
      <c r="B568" t="s">
        <v>1230</v>
      </c>
      <c r="C568" t="s">
        <v>61</v>
      </c>
      <c r="D568" t="s">
        <v>604</v>
      </c>
      <c r="E568" t="s">
        <v>1066</v>
      </c>
      <c r="F568" t="s">
        <v>64</v>
      </c>
      <c r="G568" t="s">
        <v>65</v>
      </c>
      <c r="H568" t="s">
        <v>78</v>
      </c>
      <c r="I568" t="s">
        <v>79</v>
      </c>
      <c r="J568" s="3">
        <v>43713</v>
      </c>
      <c r="K568">
        <v>6.3</v>
      </c>
      <c r="L568">
        <v>37</v>
      </c>
      <c r="M568" s="4">
        <v>7900</v>
      </c>
      <c r="N568" s="4">
        <v>127230</v>
      </c>
      <c r="O568" t="s">
        <v>68</v>
      </c>
      <c r="P568" t="s">
        <v>68</v>
      </c>
      <c r="Q568">
        <v>3.16</v>
      </c>
      <c r="R568">
        <v>60</v>
      </c>
      <c r="S568">
        <v>25</v>
      </c>
      <c r="T568" t="s">
        <v>68</v>
      </c>
      <c r="U568">
        <v>4</v>
      </c>
      <c r="V568">
        <v>22</v>
      </c>
      <c r="W568" t="s">
        <v>70</v>
      </c>
      <c r="X568" t="s">
        <v>68</v>
      </c>
      <c r="Y568" t="s">
        <v>86</v>
      </c>
      <c r="Z568" t="s">
        <v>61</v>
      </c>
    </row>
    <row r="569" spans="1:26" x14ac:dyDescent="0.2">
      <c r="A569" t="s">
        <v>1231</v>
      </c>
      <c r="B569" t="s">
        <v>936</v>
      </c>
      <c r="C569" t="s">
        <v>89</v>
      </c>
      <c r="D569" t="s">
        <v>239</v>
      </c>
      <c r="E569" t="s">
        <v>1232</v>
      </c>
      <c r="F569" t="s">
        <v>174</v>
      </c>
      <c r="G569" t="s">
        <v>65</v>
      </c>
      <c r="H569" t="s">
        <v>78</v>
      </c>
      <c r="I569" t="s">
        <v>115</v>
      </c>
      <c r="J569" s="3">
        <v>44426</v>
      </c>
      <c r="K569">
        <v>4.4000000000000004</v>
      </c>
      <c r="L569">
        <v>47</v>
      </c>
      <c r="M569" s="4">
        <v>23800</v>
      </c>
      <c r="N569" s="4">
        <v>373985</v>
      </c>
      <c r="O569" t="s">
        <v>69</v>
      </c>
      <c r="P569" t="s">
        <v>69</v>
      </c>
      <c r="Q569">
        <v>2.6</v>
      </c>
      <c r="R569">
        <v>61</v>
      </c>
      <c r="S569">
        <v>33</v>
      </c>
      <c r="T569" t="s">
        <v>69</v>
      </c>
      <c r="U569">
        <v>3</v>
      </c>
      <c r="V569">
        <v>27</v>
      </c>
      <c r="W569" t="s">
        <v>69</v>
      </c>
      <c r="X569" t="s">
        <v>68</v>
      </c>
      <c r="Y569" t="s">
        <v>71</v>
      </c>
      <c r="Z569" t="s">
        <v>89</v>
      </c>
    </row>
    <row r="570" spans="1:26" x14ac:dyDescent="0.2">
      <c r="A570" t="s">
        <v>1233</v>
      </c>
      <c r="B570" t="s">
        <v>1234</v>
      </c>
      <c r="C570" t="s">
        <v>124</v>
      </c>
      <c r="D570" t="s">
        <v>125</v>
      </c>
      <c r="E570" t="s">
        <v>330</v>
      </c>
      <c r="F570" t="s">
        <v>120</v>
      </c>
      <c r="G570" t="s">
        <v>65</v>
      </c>
      <c r="H570" t="s">
        <v>78</v>
      </c>
      <c r="I570" t="s">
        <v>148</v>
      </c>
      <c r="J570" s="3">
        <v>43966</v>
      </c>
      <c r="K570">
        <v>5.6</v>
      </c>
      <c r="L570">
        <v>32</v>
      </c>
      <c r="M570" s="4">
        <v>7300</v>
      </c>
      <c r="N570" s="4">
        <v>114976</v>
      </c>
      <c r="O570" t="s">
        <v>68</v>
      </c>
      <c r="P570" t="s">
        <v>68</v>
      </c>
      <c r="Q570">
        <v>2.95</v>
      </c>
      <c r="R570">
        <v>55</v>
      </c>
      <c r="S570">
        <v>28</v>
      </c>
      <c r="T570" t="s">
        <v>68</v>
      </c>
      <c r="U570">
        <v>5</v>
      </c>
      <c r="V570">
        <v>22</v>
      </c>
      <c r="W570" t="s">
        <v>70</v>
      </c>
      <c r="X570" t="s">
        <v>68</v>
      </c>
      <c r="Y570" t="s">
        <v>71</v>
      </c>
      <c r="Z570" t="s">
        <v>124</v>
      </c>
    </row>
    <row r="571" spans="1:26" x14ac:dyDescent="0.2">
      <c r="A571" t="s">
        <v>1235</v>
      </c>
      <c r="B571" t="s">
        <v>1196</v>
      </c>
      <c r="C571" t="s">
        <v>89</v>
      </c>
      <c r="D571" t="s">
        <v>230</v>
      </c>
      <c r="E571" t="s">
        <v>979</v>
      </c>
      <c r="F571" t="s">
        <v>136</v>
      </c>
      <c r="G571" t="s">
        <v>65</v>
      </c>
      <c r="H571" t="s">
        <v>78</v>
      </c>
      <c r="I571" t="s">
        <v>67</v>
      </c>
      <c r="J571" s="3">
        <v>43781</v>
      </c>
      <c r="K571">
        <v>6.1</v>
      </c>
      <c r="L571">
        <v>51</v>
      </c>
      <c r="M571" s="4">
        <v>13100</v>
      </c>
      <c r="N571" s="4">
        <v>202593</v>
      </c>
      <c r="O571" t="s">
        <v>68</v>
      </c>
      <c r="P571" t="s">
        <v>69</v>
      </c>
      <c r="Q571">
        <v>2.71</v>
      </c>
      <c r="R571">
        <v>45</v>
      </c>
      <c r="S571">
        <v>27</v>
      </c>
      <c r="T571" t="s">
        <v>69</v>
      </c>
      <c r="U571">
        <v>0</v>
      </c>
      <c r="V571">
        <v>12</v>
      </c>
      <c r="W571" t="s">
        <v>70</v>
      </c>
      <c r="X571" t="s">
        <v>68</v>
      </c>
      <c r="Y571" t="s">
        <v>86</v>
      </c>
      <c r="Z571" t="s">
        <v>89</v>
      </c>
    </row>
    <row r="572" spans="1:26" x14ac:dyDescent="0.2">
      <c r="A572" t="s">
        <v>1236</v>
      </c>
      <c r="B572" t="s">
        <v>1092</v>
      </c>
      <c r="C572" t="s">
        <v>108</v>
      </c>
      <c r="D572" t="s">
        <v>194</v>
      </c>
      <c r="E572" t="s">
        <v>1221</v>
      </c>
      <c r="F572" t="s">
        <v>84</v>
      </c>
      <c r="G572" t="s">
        <v>65</v>
      </c>
      <c r="H572" t="s">
        <v>78</v>
      </c>
      <c r="I572" t="s">
        <v>79</v>
      </c>
      <c r="J572" s="3">
        <v>44574</v>
      </c>
      <c r="K572">
        <v>4</v>
      </c>
      <c r="L572">
        <v>52</v>
      </c>
      <c r="M572" s="4">
        <v>20500</v>
      </c>
      <c r="N572" s="4">
        <v>296505</v>
      </c>
      <c r="O572" t="s">
        <v>69</v>
      </c>
      <c r="P572" t="s">
        <v>69</v>
      </c>
      <c r="Q572">
        <v>3.29</v>
      </c>
      <c r="R572">
        <v>62</v>
      </c>
      <c r="S572">
        <v>23</v>
      </c>
      <c r="T572" t="s">
        <v>69</v>
      </c>
      <c r="U572">
        <v>10</v>
      </c>
      <c r="V572">
        <v>52</v>
      </c>
      <c r="W572" t="s">
        <v>69</v>
      </c>
      <c r="X572" t="s">
        <v>68</v>
      </c>
      <c r="Y572" t="s">
        <v>86</v>
      </c>
      <c r="Z572" t="s">
        <v>108</v>
      </c>
    </row>
    <row r="573" spans="1:26" x14ac:dyDescent="0.2">
      <c r="A573" t="s">
        <v>1237</v>
      </c>
      <c r="B573" t="s">
        <v>312</v>
      </c>
      <c r="C573" t="s">
        <v>74</v>
      </c>
      <c r="D573" t="s">
        <v>139</v>
      </c>
      <c r="E573" t="s">
        <v>709</v>
      </c>
      <c r="F573" t="s">
        <v>77</v>
      </c>
      <c r="G573" t="s">
        <v>215</v>
      </c>
      <c r="H573" t="s">
        <v>66</v>
      </c>
      <c r="I573" t="s">
        <v>148</v>
      </c>
      <c r="J573" s="3">
        <v>43532</v>
      </c>
      <c r="K573">
        <v>6.8</v>
      </c>
      <c r="L573">
        <v>42</v>
      </c>
      <c r="M573" s="4">
        <v>11400</v>
      </c>
      <c r="N573" s="4">
        <v>183845</v>
      </c>
      <c r="O573" t="s">
        <v>68</v>
      </c>
      <c r="P573" t="s">
        <v>68</v>
      </c>
      <c r="Q573">
        <v>3.42</v>
      </c>
      <c r="R573">
        <v>69</v>
      </c>
      <c r="S573">
        <v>30</v>
      </c>
      <c r="T573" t="s">
        <v>69</v>
      </c>
      <c r="U573">
        <v>4</v>
      </c>
      <c r="V573">
        <v>23</v>
      </c>
      <c r="W573" t="s">
        <v>70</v>
      </c>
      <c r="X573" t="s">
        <v>68</v>
      </c>
      <c r="Y573" t="s">
        <v>71</v>
      </c>
      <c r="Z573" t="s">
        <v>74</v>
      </c>
    </row>
    <row r="574" spans="1:26" x14ac:dyDescent="0.2">
      <c r="A574" t="s">
        <v>1238</v>
      </c>
      <c r="B574" t="s">
        <v>621</v>
      </c>
      <c r="C574" t="s">
        <v>143</v>
      </c>
      <c r="D574" t="s">
        <v>158</v>
      </c>
      <c r="E574" t="s">
        <v>1239</v>
      </c>
      <c r="F574" t="s">
        <v>64</v>
      </c>
      <c r="G574" t="s">
        <v>65</v>
      </c>
      <c r="H574" t="s">
        <v>66</v>
      </c>
      <c r="I574" t="s">
        <v>67</v>
      </c>
      <c r="J574" s="3">
        <v>42319</v>
      </c>
      <c r="K574">
        <v>10.1</v>
      </c>
      <c r="L574">
        <v>56</v>
      </c>
      <c r="M574" s="4">
        <v>6100</v>
      </c>
      <c r="N574" s="4">
        <v>91342</v>
      </c>
      <c r="O574" t="s">
        <v>69</v>
      </c>
      <c r="P574" t="s">
        <v>69</v>
      </c>
      <c r="Q574">
        <v>2.65</v>
      </c>
      <c r="R574">
        <v>61</v>
      </c>
      <c r="S574">
        <v>39</v>
      </c>
      <c r="T574" t="s">
        <v>69</v>
      </c>
      <c r="U574">
        <v>1</v>
      </c>
      <c r="V574">
        <v>0</v>
      </c>
      <c r="W574" t="s">
        <v>69</v>
      </c>
      <c r="X574" t="s">
        <v>68</v>
      </c>
      <c r="Y574" t="s">
        <v>71</v>
      </c>
      <c r="Z574" t="s">
        <v>143</v>
      </c>
    </row>
    <row r="575" spans="1:26" x14ac:dyDescent="0.2">
      <c r="A575" t="s">
        <v>1240</v>
      </c>
      <c r="B575" t="s">
        <v>551</v>
      </c>
      <c r="C575" t="s">
        <v>12</v>
      </c>
      <c r="D575" t="s">
        <v>421</v>
      </c>
      <c r="E575" t="s">
        <v>422</v>
      </c>
      <c r="F575" t="s">
        <v>77</v>
      </c>
      <c r="G575" t="s">
        <v>65</v>
      </c>
      <c r="H575" t="s">
        <v>78</v>
      </c>
      <c r="I575" t="s">
        <v>111</v>
      </c>
      <c r="J575" s="3">
        <v>44384</v>
      </c>
      <c r="K575">
        <v>4.5</v>
      </c>
      <c r="L575">
        <v>42</v>
      </c>
      <c r="M575" s="4">
        <v>13600</v>
      </c>
      <c r="N575" s="4">
        <v>220615</v>
      </c>
      <c r="O575" t="s">
        <v>68</v>
      </c>
      <c r="P575" t="s">
        <v>68</v>
      </c>
      <c r="Q575">
        <v>2.81</v>
      </c>
      <c r="R575">
        <v>55</v>
      </c>
      <c r="S575">
        <v>20</v>
      </c>
      <c r="T575" t="s">
        <v>69</v>
      </c>
      <c r="U575">
        <v>7</v>
      </c>
      <c r="V575">
        <v>18</v>
      </c>
      <c r="W575" t="s">
        <v>70</v>
      </c>
      <c r="X575" t="s">
        <v>68</v>
      </c>
      <c r="Y575" t="s">
        <v>71</v>
      </c>
      <c r="Z575" t="s">
        <v>12</v>
      </c>
    </row>
    <row r="576" spans="1:26" x14ac:dyDescent="0.2">
      <c r="A576" t="s">
        <v>1241</v>
      </c>
      <c r="B576" t="s">
        <v>443</v>
      </c>
      <c r="C576" t="s">
        <v>96</v>
      </c>
      <c r="D576" t="s">
        <v>234</v>
      </c>
      <c r="E576" t="s">
        <v>405</v>
      </c>
      <c r="F576" t="s">
        <v>136</v>
      </c>
      <c r="G576" t="s">
        <v>65</v>
      </c>
      <c r="H576" t="s">
        <v>66</v>
      </c>
      <c r="I576" t="s">
        <v>105</v>
      </c>
      <c r="J576" s="3">
        <v>44680</v>
      </c>
      <c r="K576">
        <v>3.7</v>
      </c>
      <c r="L576">
        <v>27</v>
      </c>
      <c r="M576" s="4">
        <v>10700</v>
      </c>
      <c r="N576" s="4">
        <v>161741</v>
      </c>
      <c r="O576" t="s">
        <v>68</v>
      </c>
      <c r="P576" t="s">
        <v>69</v>
      </c>
      <c r="Q576">
        <v>3.54</v>
      </c>
      <c r="R576">
        <v>77</v>
      </c>
      <c r="S576">
        <v>9</v>
      </c>
      <c r="T576" t="s">
        <v>68</v>
      </c>
      <c r="U576">
        <v>7</v>
      </c>
      <c r="V576">
        <v>0</v>
      </c>
      <c r="W576" t="s">
        <v>70</v>
      </c>
      <c r="X576" t="s">
        <v>69</v>
      </c>
      <c r="Y576" t="s">
        <v>71</v>
      </c>
      <c r="Z576" t="s">
        <v>96</v>
      </c>
    </row>
    <row r="577" spans="1:26" x14ac:dyDescent="0.2">
      <c r="A577" t="s">
        <v>1242</v>
      </c>
      <c r="B577" t="s">
        <v>791</v>
      </c>
      <c r="C577" t="s">
        <v>143</v>
      </c>
      <c r="D577" t="s">
        <v>207</v>
      </c>
      <c r="E577" t="s">
        <v>705</v>
      </c>
      <c r="F577" t="s">
        <v>136</v>
      </c>
      <c r="G577" t="s">
        <v>65</v>
      </c>
      <c r="H577" t="s">
        <v>78</v>
      </c>
      <c r="I577" t="s">
        <v>99</v>
      </c>
      <c r="J577" s="3">
        <v>43121</v>
      </c>
      <c r="K577">
        <v>8</v>
      </c>
      <c r="L577">
        <v>40</v>
      </c>
      <c r="M577" s="4">
        <v>15700</v>
      </c>
      <c r="N577" s="4">
        <v>233591</v>
      </c>
      <c r="O577" t="s">
        <v>68</v>
      </c>
      <c r="P577" t="s">
        <v>69</v>
      </c>
      <c r="Q577">
        <v>2.65</v>
      </c>
      <c r="R577">
        <v>63</v>
      </c>
      <c r="S577">
        <v>10</v>
      </c>
      <c r="T577" t="s">
        <v>68</v>
      </c>
      <c r="U577">
        <v>0</v>
      </c>
      <c r="V577">
        <v>9</v>
      </c>
      <c r="W577" t="s">
        <v>70</v>
      </c>
      <c r="X577" t="s">
        <v>68</v>
      </c>
      <c r="Y577" t="s">
        <v>71</v>
      </c>
      <c r="Z577" t="s">
        <v>143</v>
      </c>
    </row>
    <row r="578" spans="1:26" x14ac:dyDescent="0.2">
      <c r="A578" t="s">
        <v>1243</v>
      </c>
      <c r="B578" t="s">
        <v>1244</v>
      </c>
      <c r="C578" t="s">
        <v>61</v>
      </c>
      <c r="D578" t="s">
        <v>604</v>
      </c>
      <c r="E578" t="s">
        <v>605</v>
      </c>
      <c r="F578" t="s">
        <v>136</v>
      </c>
      <c r="G578" t="s">
        <v>65</v>
      </c>
      <c r="H578" t="s">
        <v>66</v>
      </c>
      <c r="I578" t="s">
        <v>93</v>
      </c>
      <c r="J578" s="3">
        <v>41756</v>
      </c>
      <c r="K578">
        <v>11.7</v>
      </c>
      <c r="L578">
        <v>27</v>
      </c>
      <c r="M578" s="4">
        <v>12100</v>
      </c>
      <c r="N578" s="4">
        <v>177901</v>
      </c>
      <c r="O578" t="s">
        <v>68</v>
      </c>
      <c r="P578" t="s">
        <v>68</v>
      </c>
      <c r="Q578">
        <v>2.79</v>
      </c>
      <c r="R578">
        <v>55</v>
      </c>
      <c r="S578">
        <v>34</v>
      </c>
      <c r="T578" t="s">
        <v>69</v>
      </c>
      <c r="U578">
        <v>3</v>
      </c>
      <c r="V578">
        <v>16</v>
      </c>
      <c r="W578" t="s">
        <v>70</v>
      </c>
      <c r="X578" t="s">
        <v>68</v>
      </c>
      <c r="Y578" t="s">
        <v>71</v>
      </c>
      <c r="Z578" t="s">
        <v>61</v>
      </c>
    </row>
    <row r="579" spans="1:26" x14ac:dyDescent="0.2">
      <c r="A579" t="s">
        <v>1245</v>
      </c>
      <c r="B579" t="s">
        <v>656</v>
      </c>
      <c r="C579" t="s">
        <v>89</v>
      </c>
      <c r="D579" t="s">
        <v>239</v>
      </c>
      <c r="E579" t="s">
        <v>384</v>
      </c>
      <c r="F579" t="s">
        <v>136</v>
      </c>
      <c r="G579" t="s">
        <v>65</v>
      </c>
      <c r="H579" t="s">
        <v>66</v>
      </c>
      <c r="I579" t="s">
        <v>67</v>
      </c>
      <c r="J579" s="3">
        <v>43783</v>
      </c>
      <c r="K579">
        <v>6.1</v>
      </c>
      <c r="L579">
        <v>44</v>
      </c>
      <c r="M579" s="4">
        <v>14800</v>
      </c>
      <c r="N579" s="4">
        <v>210957</v>
      </c>
      <c r="O579" t="s">
        <v>68</v>
      </c>
      <c r="P579" t="s">
        <v>69</v>
      </c>
      <c r="Q579">
        <v>2.93</v>
      </c>
      <c r="R579">
        <v>75</v>
      </c>
      <c r="S579">
        <v>20</v>
      </c>
      <c r="T579" t="s">
        <v>69</v>
      </c>
      <c r="U579">
        <v>7</v>
      </c>
      <c r="V579">
        <v>24</v>
      </c>
      <c r="W579" t="s">
        <v>70</v>
      </c>
      <c r="X579" t="s">
        <v>68</v>
      </c>
      <c r="Y579" t="s">
        <v>71</v>
      </c>
      <c r="Z579" t="s">
        <v>89</v>
      </c>
    </row>
    <row r="580" spans="1:26" x14ac:dyDescent="0.2">
      <c r="A580" t="s">
        <v>1246</v>
      </c>
      <c r="B580" t="s">
        <v>1247</v>
      </c>
      <c r="C580" t="s">
        <v>61</v>
      </c>
      <c r="D580" t="s">
        <v>604</v>
      </c>
      <c r="E580" t="s">
        <v>897</v>
      </c>
      <c r="F580" t="s">
        <v>77</v>
      </c>
      <c r="G580" t="s">
        <v>65</v>
      </c>
      <c r="H580" t="s">
        <v>66</v>
      </c>
      <c r="I580" t="s">
        <v>148</v>
      </c>
      <c r="J580" s="3">
        <v>45173</v>
      </c>
      <c r="K580">
        <v>2.2999999999999998</v>
      </c>
      <c r="L580">
        <v>59</v>
      </c>
      <c r="M580" s="4">
        <v>9300</v>
      </c>
      <c r="N580" s="4">
        <v>145015</v>
      </c>
      <c r="O580" t="s">
        <v>68</v>
      </c>
      <c r="P580" t="s">
        <v>68</v>
      </c>
      <c r="Q580">
        <v>2.82</v>
      </c>
      <c r="R580">
        <v>65</v>
      </c>
      <c r="S580">
        <v>5</v>
      </c>
      <c r="T580" t="s">
        <v>69</v>
      </c>
      <c r="U580">
        <v>5</v>
      </c>
      <c r="V580">
        <v>18</v>
      </c>
      <c r="W580" t="s">
        <v>70</v>
      </c>
      <c r="X580" t="s">
        <v>68</v>
      </c>
      <c r="Y580" t="s">
        <v>71</v>
      </c>
      <c r="Z580" t="s">
        <v>61</v>
      </c>
    </row>
    <row r="581" spans="1:26" x14ac:dyDescent="0.2">
      <c r="A581" t="s">
        <v>1248</v>
      </c>
      <c r="B581" t="s">
        <v>1249</v>
      </c>
      <c r="C581" t="s">
        <v>61</v>
      </c>
      <c r="D581" t="s">
        <v>218</v>
      </c>
      <c r="E581" t="s">
        <v>219</v>
      </c>
      <c r="F581" t="s">
        <v>64</v>
      </c>
      <c r="G581" t="s">
        <v>65</v>
      </c>
      <c r="H581" t="s">
        <v>78</v>
      </c>
      <c r="I581" t="s">
        <v>99</v>
      </c>
      <c r="J581" s="3">
        <v>43431</v>
      </c>
      <c r="K581">
        <v>7.1</v>
      </c>
      <c r="L581">
        <v>26</v>
      </c>
      <c r="M581" s="4">
        <v>7000</v>
      </c>
      <c r="N581" s="4">
        <v>101201</v>
      </c>
      <c r="O581" t="s">
        <v>68</v>
      </c>
      <c r="P581" t="s">
        <v>68</v>
      </c>
      <c r="Q581">
        <v>2.19</v>
      </c>
      <c r="R581">
        <v>66</v>
      </c>
      <c r="S581">
        <v>23</v>
      </c>
      <c r="T581" t="s">
        <v>69</v>
      </c>
      <c r="U581">
        <v>10</v>
      </c>
      <c r="V581">
        <v>13</v>
      </c>
      <c r="W581" t="s">
        <v>70</v>
      </c>
      <c r="X581" t="s">
        <v>68</v>
      </c>
      <c r="Y581" t="s">
        <v>71</v>
      </c>
      <c r="Z581" t="s">
        <v>61</v>
      </c>
    </row>
    <row r="582" spans="1:26" x14ac:dyDescent="0.2">
      <c r="A582" t="s">
        <v>1250</v>
      </c>
      <c r="B582" t="s">
        <v>594</v>
      </c>
      <c r="C582" t="s">
        <v>61</v>
      </c>
      <c r="D582" t="s">
        <v>604</v>
      </c>
      <c r="E582" t="s">
        <v>1251</v>
      </c>
      <c r="F582" t="s">
        <v>191</v>
      </c>
      <c r="G582" t="s">
        <v>215</v>
      </c>
      <c r="H582" t="s">
        <v>78</v>
      </c>
      <c r="I582" t="s">
        <v>105</v>
      </c>
      <c r="J582" s="3">
        <v>45375</v>
      </c>
      <c r="K582">
        <v>1.8</v>
      </c>
      <c r="L582">
        <v>26</v>
      </c>
      <c r="M582" s="4">
        <v>44600</v>
      </c>
      <c r="N582" s="4">
        <v>679390</v>
      </c>
      <c r="O582" t="s">
        <v>69</v>
      </c>
      <c r="P582" t="s">
        <v>68</v>
      </c>
      <c r="Q582">
        <v>1.6</v>
      </c>
      <c r="R582">
        <v>58</v>
      </c>
      <c r="S582">
        <v>51</v>
      </c>
      <c r="T582" t="s">
        <v>69</v>
      </c>
      <c r="U582">
        <v>5</v>
      </c>
      <c r="V582">
        <v>20</v>
      </c>
      <c r="W582" t="s">
        <v>68</v>
      </c>
      <c r="X582" t="s">
        <v>68</v>
      </c>
      <c r="Y582" t="s">
        <v>71</v>
      </c>
      <c r="Z582" t="s">
        <v>61</v>
      </c>
    </row>
    <row r="583" spans="1:26" x14ac:dyDescent="0.2">
      <c r="A583" t="s">
        <v>1252</v>
      </c>
      <c r="B583" t="s">
        <v>1253</v>
      </c>
      <c r="C583" t="s">
        <v>108</v>
      </c>
      <c r="D583" t="s">
        <v>222</v>
      </c>
      <c r="E583" t="s">
        <v>276</v>
      </c>
      <c r="F583" t="s">
        <v>120</v>
      </c>
      <c r="G583" t="s">
        <v>65</v>
      </c>
      <c r="H583" t="s">
        <v>78</v>
      </c>
      <c r="I583" t="s">
        <v>67</v>
      </c>
      <c r="J583" s="3">
        <v>45381</v>
      </c>
      <c r="K583">
        <v>1.8</v>
      </c>
      <c r="L583">
        <v>54</v>
      </c>
      <c r="M583" s="4">
        <v>8000</v>
      </c>
      <c r="N583" s="4">
        <v>129788</v>
      </c>
      <c r="O583" t="s">
        <v>68</v>
      </c>
      <c r="P583" t="s">
        <v>69</v>
      </c>
      <c r="Q583">
        <v>2.97</v>
      </c>
      <c r="R583">
        <v>62</v>
      </c>
      <c r="S583">
        <v>53</v>
      </c>
      <c r="T583" t="s">
        <v>69</v>
      </c>
      <c r="U583">
        <v>8</v>
      </c>
      <c r="V583">
        <v>26</v>
      </c>
      <c r="W583" t="s">
        <v>70</v>
      </c>
      <c r="X583" t="s">
        <v>68</v>
      </c>
      <c r="Y583" t="s">
        <v>71</v>
      </c>
      <c r="Z583" t="s">
        <v>108</v>
      </c>
    </row>
    <row r="584" spans="1:26" x14ac:dyDescent="0.2">
      <c r="A584" t="s">
        <v>1254</v>
      </c>
      <c r="B584" t="s">
        <v>572</v>
      </c>
      <c r="C584" t="s">
        <v>102</v>
      </c>
      <c r="D584" t="s">
        <v>339</v>
      </c>
      <c r="E584" t="s">
        <v>921</v>
      </c>
      <c r="F584" t="s">
        <v>84</v>
      </c>
      <c r="G584" t="s">
        <v>85</v>
      </c>
      <c r="H584" t="s">
        <v>66</v>
      </c>
      <c r="I584" t="s">
        <v>111</v>
      </c>
      <c r="J584" s="3">
        <v>41923</v>
      </c>
      <c r="K584">
        <v>11.2</v>
      </c>
      <c r="L584">
        <v>41</v>
      </c>
      <c r="M584" s="4">
        <v>18300</v>
      </c>
      <c r="N584" s="4">
        <v>262425</v>
      </c>
      <c r="O584" t="s">
        <v>69</v>
      </c>
      <c r="P584" t="s">
        <v>69</v>
      </c>
      <c r="Q584">
        <v>3.82</v>
      </c>
      <c r="R584">
        <v>64</v>
      </c>
      <c r="S584">
        <v>31</v>
      </c>
      <c r="T584" t="s">
        <v>69</v>
      </c>
      <c r="U584">
        <v>5</v>
      </c>
      <c r="V584">
        <v>42</v>
      </c>
      <c r="W584" t="s">
        <v>69</v>
      </c>
      <c r="X584" t="s">
        <v>69</v>
      </c>
      <c r="Y584" t="s">
        <v>71</v>
      </c>
      <c r="Z584" t="s">
        <v>102</v>
      </c>
    </row>
    <row r="585" spans="1:26" x14ac:dyDescent="0.2">
      <c r="A585" t="s">
        <v>1255</v>
      </c>
      <c r="B585" t="s">
        <v>1256</v>
      </c>
      <c r="C585" t="s">
        <v>12</v>
      </c>
      <c r="D585" t="s">
        <v>200</v>
      </c>
      <c r="E585" t="s">
        <v>1257</v>
      </c>
      <c r="F585" t="s">
        <v>64</v>
      </c>
      <c r="G585" t="s">
        <v>65</v>
      </c>
      <c r="H585" t="s">
        <v>78</v>
      </c>
      <c r="I585" t="s">
        <v>99</v>
      </c>
      <c r="J585" s="3">
        <v>42447</v>
      </c>
      <c r="K585">
        <v>9.8000000000000007</v>
      </c>
      <c r="L585">
        <v>26</v>
      </c>
      <c r="M585" s="4">
        <v>6500</v>
      </c>
      <c r="N585" s="4">
        <v>95775</v>
      </c>
      <c r="O585" t="s">
        <v>68</v>
      </c>
      <c r="P585" t="s">
        <v>69</v>
      </c>
      <c r="Q585">
        <v>3.58</v>
      </c>
      <c r="R585">
        <v>73</v>
      </c>
      <c r="S585">
        <v>24</v>
      </c>
      <c r="T585" t="s">
        <v>69</v>
      </c>
      <c r="U585">
        <v>4</v>
      </c>
      <c r="V585">
        <v>23</v>
      </c>
      <c r="W585" t="s">
        <v>70</v>
      </c>
      <c r="X585" t="s">
        <v>69</v>
      </c>
      <c r="Y585" t="s">
        <v>71</v>
      </c>
      <c r="Z585" t="s">
        <v>12</v>
      </c>
    </row>
    <row r="586" spans="1:26" x14ac:dyDescent="0.2">
      <c r="A586" t="s">
        <v>1258</v>
      </c>
      <c r="B586" t="s">
        <v>292</v>
      </c>
      <c r="C586" t="s">
        <v>133</v>
      </c>
      <c r="D586" t="s">
        <v>287</v>
      </c>
      <c r="E586" t="s">
        <v>483</v>
      </c>
      <c r="F586" t="s">
        <v>136</v>
      </c>
      <c r="G586" t="s">
        <v>65</v>
      </c>
      <c r="H586" t="s">
        <v>78</v>
      </c>
      <c r="I586" t="s">
        <v>236</v>
      </c>
      <c r="J586" s="3">
        <v>43291</v>
      </c>
      <c r="K586">
        <v>7.5</v>
      </c>
      <c r="L586">
        <v>32</v>
      </c>
      <c r="M586" s="4">
        <v>14200</v>
      </c>
      <c r="N586" s="4">
        <v>229015</v>
      </c>
      <c r="O586" t="s">
        <v>68</v>
      </c>
      <c r="P586" t="s">
        <v>68</v>
      </c>
      <c r="Q586">
        <v>3.47</v>
      </c>
      <c r="R586">
        <v>67</v>
      </c>
      <c r="S586">
        <v>34</v>
      </c>
      <c r="T586" t="s">
        <v>69</v>
      </c>
      <c r="U586">
        <v>1</v>
      </c>
      <c r="V586">
        <v>19</v>
      </c>
      <c r="W586" t="s">
        <v>70</v>
      </c>
      <c r="X586" t="s">
        <v>68</v>
      </c>
      <c r="Y586" t="s">
        <v>71</v>
      </c>
      <c r="Z586" t="s">
        <v>133</v>
      </c>
    </row>
    <row r="587" spans="1:26" x14ac:dyDescent="0.2">
      <c r="A587" t="s">
        <v>1259</v>
      </c>
      <c r="B587" t="s">
        <v>783</v>
      </c>
      <c r="C587" t="s">
        <v>108</v>
      </c>
      <c r="D587" t="s">
        <v>194</v>
      </c>
      <c r="E587" t="s">
        <v>381</v>
      </c>
      <c r="F587" t="s">
        <v>77</v>
      </c>
      <c r="G587" t="s">
        <v>85</v>
      </c>
      <c r="H587" t="s">
        <v>66</v>
      </c>
      <c r="I587" t="s">
        <v>111</v>
      </c>
      <c r="J587" s="3">
        <v>44386</v>
      </c>
      <c r="K587">
        <v>4.5</v>
      </c>
      <c r="L587">
        <v>23</v>
      </c>
      <c r="M587" s="4">
        <v>9300</v>
      </c>
      <c r="N587" s="4">
        <v>153110</v>
      </c>
      <c r="O587" t="s">
        <v>68</v>
      </c>
      <c r="P587" t="s">
        <v>69</v>
      </c>
      <c r="Q587">
        <v>3.29</v>
      </c>
      <c r="R587">
        <v>90</v>
      </c>
      <c r="S587">
        <v>45</v>
      </c>
      <c r="T587" t="s">
        <v>69</v>
      </c>
      <c r="U587">
        <v>2</v>
      </c>
      <c r="V587">
        <v>20</v>
      </c>
      <c r="W587" t="s">
        <v>70</v>
      </c>
      <c r="X587" t="s">
        <v>68</v>
      </c>
      <c r="Y587" t="s">
        <v>71</v>
      </c>
      <c r="Z587" t="s">
        <v>108</v>
      </c>
    </row>
    <row r="588" spans="1:26" x14ac:dyDescent="0.2">
      <c r="A588" t="s">
        <v>1260</v>
      </c>
      <c r="B588" t="s">
        <v>868</v>
      </c>
      <c r="C588" t="s">
        <v>89</v>
      </c>
      <c r="D588" t="s">
        <v>90</v>
      </c>
      <c r="E588" t="s">
        <v>187</v>
      </c>
      <c r="F588" t="s">
        <v>120</v>
      </c>
      <c r="G588" t="s">
        <v>85</v>
      </c>
      <c r="H588" t="s">
        <v>66</v>
      </c>
      <c r="I588" t="s">
        <v>67</v>
      </c>
      <c r="J588" s="3">
        <v>45806</v>
      </c>
      <c r="K588">
        <v>0.6</v>
      </c>
      <c r="L588">
        <v>50</v>
      </c>
      <c r="M588" s="4">
        <v>8400</v>
      </c>
      <c r="N588" s="4">
        <v>135989</v>
      </c>
      <c r="O588" t="s">
        <v>68</v>
      </c>
      <c r="P588" t="s">
        <v>69</v>
      </c>
      <c r="Q588">
        <v>2.12</v>
      </c>
      <c r="R588">
        <v>64</v>
      </c>
      <c r="S588">
        <v>24</v>
      </c>
      <c r="T588" t="s">
        <v>69</v>
      </c>
      <c r="U588">
        <v>6</v>
      </c>
      <c r="V588">
        <v>58</v>
      </c>
      <c r="W588" t="s">
        <v>70</v>
      </c>
      <c r="X588" t="s">
        <v>68</v>
      </c>
      <c r="Y588" t="s">
        <v>86</v>
      </c>
      <c r="Z588" t="s">
        <v>89</v>
      </c>
    </row>
    <row r="589" spans="1:26" x14ac:dyDescent="0.2">
      <c r="A589" t="s">
        <v>1261</v>
      </c>
      <c r="B589" t="s">
        <v>443</v>
      </c>
      <c r="C589" t="s">
        <v>12</v>
      </c>
      <c r="D589" t="s">
        <v>249</v>
      </c>
      <c r="E589" t="s">
        <v>1262</v>
      </c>
      <c r="F589" t="s">
        <v>136</v>
      </c>
      <c r="G589" t="s">
        <v>65</v>
      </c>
      <c r="H589" t="s">
        <v>66</v>
      </c>
      <c r="I589" t="s">
        <v>121</v>
      </c>
      <c r="J589" s="3">
        <v>45729</v>
      </c>
      <c r="K589">
        <v>0.8</v>
      </c>
      <c r="L589">
        <v>59</v>
      </c>
      <c r="M589" s="4">
        <v>11600</v>
      </c>
      <c r="N589" s="4">
        <v>182584</v>
      </c>
      <c r="O589" t="s">
        <v>68</v>
      </c>
      <c r="P589" t="s">
        <v>68</v>
      </c>
      <c r="Q589">
        <v>3.32</v>
      </c>
      <c r="R589">
        <v>53</v>
      </c>
      <c r="S589">
        <v>21</v>
      </c>
      <c r="T589" t="s">
        <v>69</v>
      </c>
      <c r="U589">
        <v>7</v>
      </c>
      <c r="V589">
        <v>13</v>
      </c>
      <c r="W589" t="s">
        <v>70</v>
      </c>
      <c r="X589" t="s">
        <v>68</v>
      </c>
      <c r="Y589" t="s">
        <v>71</v>
      </c>
      <c r="Z589" t="s">
        <v>12</v>
      </c>
    </row>
    <row r="590" spans="1:26" x14ac:dyDescent="0.2">
      <c r="A590" t="s">
        <v>1263</v>
      </c>
      <c r="B590" t="s">
        <v>377</v>
      </c>
      <c r="C590" t="s">
        <v>102</v>
      </c>
      <c r="D590" t="s">
        <v>183</v>
      </c>
      <c r="E590" t="s">
        <v>1264</v>
      </c>
      <c r="F590" t="s">
        <v>92</v>
      </c>
      <c r="G590" t="s">
        <v>65</v>
      </c>
      <c r="H590" t="s">
        <v>66</v>
      </c>
      <c r="I590" t="s">
        <v>79</v>
      </c>
      <c r="J590" s="3">
        <v>44329</v>
      </c>
      <c r="K590">
        <v>4.5999999999999996</v>
      </c>
      <c r="L590">
        <v>57</v>
      </c>
      <c r="M590" s="4">
        <v>4800</v>
      </c>
      <c r="N590" s="4">
        <v>75404</v>
      </c>
      <c r="O590" t="s">
        <v>68</v>
      </c>
      <c r="P590" t="s">
        <v>69</v>
      </c>
      <c r="Q590">
        <v>2.98</v>
      </c>
      <c r="R590">
        <v>62</v>
      </c>
      <c r="S590">
        <v>29</v>
      </c>
      <c r="T590" t="s">
        <v>69</v>
      </c>
      <c r="U590">
        <v>1</v>
      </c>
      <c r="V590">
        <v>65</v>
      </c>
      <c r="W590" t="s">
        <v>70</v>
      </c>
      <c r="X590" t="s">
        <v>68</v>
      </c>
      <c r="Y590" t="s">
        <v>86</v>
      </c>
      <c r="Z590" t="s">
        <v>102</v>
      </c>
    </row>
    <row r="591" spans="1:26" x14ac:dyDescent="0.2">
      <c r="A591" t="s">
        <v>1265</v>
      </c>
      <c r="B591" t="s">
        <v>1247</v>
      </c>
      <c r="C591" t="s">
        <v>89</v>
      </c>
      <c r="D591" t="s">
        <v>239</v>
      </c>
      <c r="E591" t="s">
        <v>580</v>
      </c>
      <c r="F591" t="s">
        <v>77</v>
      </c>
      <c r="G591" t="s">
        <v>65</v>
      </c>
      <c r="H591" t="s">
        <v>66</v>
      </c>
      <c r="I591" t="s">
        <v>99</v>
      </c>
      <c r="J591" s="3">
        <v>42348</v>
      </c>
      <c r="K591">
        <v>10.1</v>
      </c>
      <c r="L591">
        <v>46</v>
      </c>
      <c r="M591" s="4">
        <v>13300</v>
      </c>
      <c r="N591" s="4">
        <v>217447</v>
      </c>
      <c r="O591" t="s">
        <v>68</v>
      </c>
      <c r="P591" t="s">
        <v>69</v>
      </c>
      <c r="Q591">
        <v>3.59</v>
      </c>
      <c r="R591">
        <v>49</v>
      </c>
      <c r="S591">
        <v>32</v>
      </c>
      <c r="T591" t="s">
        <v>69</v>
      </c>
      <c r="U591">
        <v>1</v>
      </c>
      <c r="V591">
        <v>47</v>
      </c>
      <c r="W591" t="s">
        <v>70</v>
      </c>
      <c r="X591" t="s">
        <v>69</v>
      </c>
      <c r="Y591" t="s">
        <v>86</v>
      </c>
      <c r="Z591" t="s">
        <v>89</v>
      </c>
    </row>
    <row r="592" spans="1:26" x14ac:dyDescent="0.2">
      <c r="A592" t="s">
        <v>1266</v>
      </c>
      <c r="B592" t="s">
        <v>357</v>
      </c>
      <c r="C592" t="s">
        <v>108</v>
      </c>
      <c r="D592" t="s">
        <v>222</v>
      </c>
      <c r="E592" t="s">
        <v>375</v>
      </c>
      <c r="F592" t="s">
        <v>84</v>
      </c>
      <c r="G592" t="s">
        <v>65</v>
      </c>
      <c r="H592" t="s">
        <v>66</v>
      </c>
      <c r="I592" t="s">
        <v>111</v>
      </c>
      <c r="J592" s="3">
        <v>44027</v>
      </c>
      <c r="K592">
        <v>5.5</v>
      </c>
      <c r="L592">
        <v>60</v>
      </c>
      <c r="M592" s="4">
        <v>18600</v>
      </c>
      <c r="N592" s="4">
        <v>289523</v>
      </c>
      <c r="O592" t="s">
        <v>69</v>
      </c>
      <c r="P592" t="s">
        <v>69</v>
      </c>
      <c r="Q592">
        <v>2.74</v>
      </c>
      <c r="R592">
        <v>78</v>
      </c>
      <c r="S592">
        <v>15</v>
      </c>
      <c r="T592" t="s">
        <v>69</v>
      </c>
      <c r="U592">
        <v>6</v>
      </c>
      <c r="V592">
        <v>57</v>
      </c>
      <c r="W592" t="s">
        <v>69</v>
      </c>
      <c r="X592" t="s">
        <v>68</v>
      </c>
      <c r="Y592" t="s">
        <v>71</v>
      </c>
      <c r="Z592" t="s">
        <v>108</v>
      </c>
    </row>
    <row r="593" spans="1:26" x14ac:dyDescent="0.2">
      <c r="A593" t="s">
        <v>1267</v>
      </c>
      <c r="B593" t="s">
        <v>817</v>
      </c>
      <c r="C593" t="s">
        <v>96</v>
      </c>
      <c r="D593" t="s">
        <v>234</v>
      </c>
      <c r="E593" t="s">
        <v>1268</v>
      </c>
      <c r="F593" t="s">
        <v>191</v>
      </c>
      <c r="G593" t="s">
        <v>65</v>
      </c>
      <c r="H593" t="s">
        <v>66</v>
      </c>
      <c r="I593" t="s">
        <v>111</v>
      </c>
      <c r="J593" s="3">
        <v>45919</v>
      </c>
      <c r="K593">
        <v>0.3</v>
      </c>
      <c r="L593">
        <v>59</v>
      </c>
      <c r="M593" s="4">
        <v>36600</v>
      </c>
      <c r="N593" s="4">
        <v>544078</v>
      </c>
      <c r="O593" t="s">
        <v>69</v>
      </c>
      <c r="P593" t="s">
        <v>69</v>
      </c>
      <c r="Q593">
        <v>3.83</v>
      </c>
      <c r="R593">
        <v>75</v>
      </c>
      <c r="S593">
        <v>25</v>
      </c>
      <c r="T593" t="s">
        <v>69</v>
      </c>
      <c r="U593">
        <v>11</v>
      </c>
      <c r="V593">
        <v>33</v>
      </c>
      <c r="W593" t="s">
        <v>69</v>
      </c>
      <c r="X593" t="s">
        <v>69</v>
      </c>
      <c r="Y593" t="s">
        <v>71</v>
      </c>
      <c r="Z593" t="s">
        <v>96</v>
      </c>
    </row>
    <row r="594" spans="1:26" x14ac:dyDescent="0.2">
      <c r="A594" t="s">
        <v>1269</v>
      </c>
      <c r="B594" t="s">
        <v>383</v>
      </c>
      <c r="C594" t="s">
        <v>143</v>
      </c>
      <c r="D594" t="s">
        <v>144</v>
      </c>
      <c r="E594" t="s">
        <v>787</v>
      </c>
      <c r="F594" t="s">
        <v>136</v>
      </c>
      <c r="G594" t="s">
        <v>85</v>
      </c>
      <c r="H594" t="s">
        <v>66</v>
      </c>
      <c r="I594" t="s">
        <v>148</v>
      </c>
      <c r="J594" s="3">
        <v>43082</v>
      </c>
      <c r="K594">
        <v>8.1</v>
      </c>
      <c r="L594">
        <v>39</v>
      </c>
      <c r="M594" s="4">
        <v>13700</v>
      </c>
      <c r="N594" s="4">
        <v>197144</v>
      </c>
      <c r="O594" t="s">
        <v>68</v>
      </c>
      <c r="P594" t="s">
        <v>69</v>
      </c>
      <c r="Q594">
        <v>2.92</v>
      </c>
      <c r="R594">
        <v>62</v>
      </c>
      <c r="S594">
        <v>18</v>
      </c>
      <c r="T594" t="s">
        <v>69</v>
      </c>
      <c r="U594">
        <v>0</v>
      </c>
      <c r="V594">
        <v>0</v>
      </c>
      <c r="W594" t="s">
        <v>70</v>
      </c>
      <c r="X594" t="s">
        <v>68</v>
      </c>
      <c r="Y594" t="s">
        <v>71</v>
      </c>
      <c r="Z594" t="s">
        <v>143</v>
      </c>
    </row>
    <row r="595" spans="1:26" x14ac:dyDescent="0.2">
      <c r="A595" t="s">
        <v>1270</v>
      </c>
      <c r="B595" t="s">
        <v>417</v>
      </c>
      <c r="C595" t="s">
        <v>74</v>
      </c>
      <c r="D595" t="s">
        <v>313</v>
      </c>
      <c r="E595" t="s">
        <v>526</v>
      </c>
      <c r="F595" t="s">
        <v>136</v>
      </c>
      <c r="G595" t="s">
        <v>215</v>
      </c>
      <c r="H595" t="s">
        <v>66</v>
      </c>
      <c r="I595" t="s">
        <v>79</v>
      </c>
      <c r="J595" s="3">
        <v>45603</v>
      </c>
      <c r="K595">
        <v>1.2</v>
      </c>
      <c r="L595">
        <v>46</v>
      </c>
      <c r="M595" s="4">
        <v>12700</v>
      </c>
      <c r="N595" s="4">
        <v>204158</v>
      </c>
      <c r="O595" t="s">
        <v>68</v>
      </c>
      <c r="P595" t="s">
        <v>69</v>
      </c>
      <c r="Q595">
        <v>3.66</v>
      </c>
      <c r="R595">
        <v>60</v>
      </c>
      <c r="S595">
        <v>25</v>
      </c>
      <c r="T595" t="s">
        <v>68</v>
      </c>
      <c r="U595">
        <v>5</v>
      </c>
      <c r="V595">
        <v>0</v>
      </c>
      <c r="W595" t="s">
        <v>70</v>
      </c>
      <c r="X595" t="s">
        <v>69</v>
      </c>
      <c r="Y595" t="s">
        <v>71</v>
      </c>
      <c r="Z595" t="s">
        <v>74</v>
      </c>
    </row>
    <row r="596" spans="1:26" x14ac:dyDescent="0.2">
      <c r="A596" t="s">
        <v>1271</v>
      </c>
      <c r="B596" t="s">
        <v>383</v>
      </c>
      <c r="C596" t="s">
        <v>89</v>
      </c>
      <c r="D596" t="s">
        <v>154</v>
      </c>
      <c r="E596" t="s">
        <v>887</v>
      </c>
      <c r="F596" t="s">
        <v>84</v>
      </c>
      <c r="G596" t="s">
        <v>85</v>
      </c>
      <c r="H596" t="s">
        <v>78</v>
      </c>
      <c r="I596" t="s">
        <v>67</v>
      </c>
      <c r="J596" s="3">
        <v>41781</v>
      </c>
      <c r="K596">
        <v>11.6</v>
      </c>
      <c r="L596">
        <v>45</v>
      </c>
      <c r="M596" s="4">
        <v>17300</v>
      </c>
      <c r="N596" s="4">
        <v>247085</v>
      </c>
      <c r="O596" t="s">
        <v>69</v>
      </c>
      <c r="P596" t="s">
        <v>69</v>
      </c>
      <c r="Q596">
        <v>3.08</v>
      </c>
      <c r="R596">
        <v>61</v>
      </c>
      <c r="S596">
        <v>34</v>
      </c>
      <c r="T596" t="s">
        <v>69</v>
      </c>
      <c r="U596">
        <v>8</v>
      </c>
      <c r="V596">
        <v>56</v>
      </c>
      <c r="W596" t="s">
        <v>68</v>
      </c>
      <c r="X596" t="s">
        <v>68</v>
      </c>
      <c r="Y596" t="s">
        <v>86</v>
      </c>
      <c r="Z596" t="s">
        <v>89</v>
      </c>
    </row>
    <row r="597" spans="1:26" x14ac:dyDescent="0.2">
      <c r="A597" t="s">
        <v>1272</v>
      </c>
      <c r="B597" t="s">
        <v>452</v>
      </c>
      <c r="C597" t="s">
        <v>89</v>
      </c>
      <c r="D597" t="s">
        <v>239</v>
      </c>
      <c r="E597" t="s">
        <v>372</v>
      </c>
      <c r="F597" t="s">
        <v>120</v>
      </c>
      <c r="G597" t="s">
        <v>65</v>
      </c>
      <c r="H597" t="s">
        <v>66</v>
      </c>
      <c r="I597" t="s">
        <v>99</v>
      </c>
      <c r="J597" s="3">
        <v>44956</v>
      </c>
      <c r="K597">
        <v>2.9</v>
      </c>
      <c r="L597">
        <v>25</v>
      </c>
      <c r="M597" s="4">
        <v>6400</v>
      </c>
      <c r="N597" s="4">
        <v>105933</v>
      </c>
      <c r="O597" t="s">
        <v>68</v>
      </c>
      <c r="P597" t="s">
        <v>69</v>
      </c>
      <c r="Q597">
        <v>2.5299999999999998</v>
      </c>
      <c r="R597">
        <v>59</v>
      </c>
      <c r="S597">
        <v>25</v>
      </c>
      <c r="T597" t="s">
        <v>69</v>
      </c>
      <c r="U597">
        <v>5</v>
      </c>
      <c r="V597">
        <v>53</v>
      </c>
      <c r="W597" t="s">
        <v>70</v>
      </c>
      <c r="X597" t="s">
        <v>68</v>
      </c>
      <c r="Y597" t="s">
        <v>86</v>
      </c>
      <c r="Z597" t="s">
        <v>89</v>
      </c>
    </row>
    <row r="598" spans="1:26" x14ac:dyDescent="0.2">
      <c r="A598" t="s">
        <v>1273</v>
      </c>
      <c r="B598" t="s">
        <v>1274</v>
      </c>
      <c r="C598" t="s">
        <v>102</v>
      </c>
      <c r="D598" t="s">
        <v>339</v>
      </c>
      <c r="E598" t="s">
        <v>340</v>
      </c>
      <c r="F598" t="s">
        <v>77</v>
      </c>
      <c r="G598" t="s">
        <v>85</v>
      </c>
      <c r="H598" t="s">
        <v>66</v>
      </c>
      <c r="I598" t="s">
        <v>67</v>
      </c>
      <c r="J598" s="3">
        <v>43616</v>
      </c>
      <c r="K598">
        <v>6.6</v>
      </c>
      <c r="L598">
        <v>46</v>
      </c>
      <c r="M598" s="4">
        <v>9200</v>
      </c>
      <c r="N598" s="4">
        <v>134184</v>
      </c>
      <c r="O598" t="s">
        <v>68</v>
      </c>
      <c r="P598" t="s">
        <v>69</v>
      </c>
      <c r="Q598">
        <v>3.2</v>
      </c>
      <c r="R598">
        <v>74</v>
      </c>
      <c r="S598">
        <v>32</v>
      </c>
      <c r="T598" t="s">
        <v>69</v>
      </c>
      <c r="U598">
        <v>12</v>
      </c>
      <c r="V598">
        <v>31</v>
      </c>
      <c r="W598" t="s">
        <v>70</v>
      </c>
      <c r="X598" t="s">
        <v>68</v>
      </c>
      <c r="Y598" t="s">
        <v>71</v>
      </c>
      <c r="Z598" t="s">
        <v>102</v>
      </c>
    </row>
    <row r="599" spans="1:26" x14ac:dyDescent="0.2">
      <c r="A599" t="s">
        <v>1275</v>
      </c>
      <c r="B599" t="s">
        <v>884</v>
      </c>
      <c r="C599" t="s">
        <v>89</v>
      </c>
      <c r="D599" t="s">
        <v>230</v>
      </c>
      <c r="E599" t="s">
        <v>505</v>
      </c>
      <c r="F599" t="s">
        <v>77</v>
      </c>
      <c r="G599" t="s">
        <v>85</v>
      </c>
      <c r="H599" t="s">
        <v>78</v>
      </c>
      <c r="I599" t="s">
        <v>67</v>
      </c>
      <c r="J599" s="3">
        <v>45448</v>
      </c>
      <c r="K599">
        <v>1.6</v>
      </c>
      <c r="L599">
        <v>41</v>
      </c>
      <c r="M599" s="4">
        <v>11300</v>
      </c>
      <c r="N599" s="4">
        <v>181516</v>
      </c>
      <c r="O599" t="s">
        <v>68</v>
      </c>
      <c r="P599" t="s">
        <v>69</v>
      </c>
      <c r="Q599">
        <v>2.65</v>
      </c>
      <c r="R599">
        <v>72</v>
      </c>
      <c r="S599">
        <v>14</v>
      </c>
      <c r="T599" t="s">
        <v>69</v>
      </c>
      <c r="U599">
        <v>4</v>
      </c>
      <c r="V599">
        <v>28</v>
      </c>
      <c r="W599" t="s">
        <v>70</v>
      </c>
      <c r="X599" t="s">
        <v>68</v>
      </c>
      <c r="Y599" t="s">
        <v>71</v>
      </c>
      <c r="Z599" t="s">
        <v>89</v>
      </c>
    </row>
    <row r="600" spans="1:26" x14ac:dyDescent="0.2">
      <c r="A600" t="s">
        <v>1276</v>
      </c>
      <c r="B600" t="s">
        <v>906</v>
      </c>
      <c r="C600" t="s">
        <v>96</v>
      </c>
      <c r="D600" t="s">
        <v>162</v>
      </c>
      <c r="E600" t="s">
        <v>403</v>
      </c>
      <c r="F600" t="s">
        <v>84</v>
      </c>
      <c r="G600" t="s">
        <v>65</v>
      </c>
      <c r="H600" t="s">
        <v>78</v>
      </c>
      <c r="I600" t="s">
        <v>99</v>
      </c>
      <c r="J600" s="3">
        <v>43424</v>
      </c>
      <c r="K600">
        <v>7.1</v>
      </c>
      <c r="L600">
        <v>39</v>
      </c>
      <c r="M600" s="4">
        <v>20100</v>
      </c>
      <c r="N600" s="4">
        <v>317553</v>
      </c>
      <c r="O600" t="s">
        <v>69</v>
      </c>
      <c r="P600" t="s">
        <v>69</v>
      </c>
      <c r="Q600">
        <v>2.87</v>
      </c>
      <c r="R600">
        <v>75</v>
      </c>
      <c r="S600">
        <v>46</v>
      </c>
      <c r="T600" t="s">
        <v>69</v>
      </c>
      <c r="U600">
        <v>5</v>
      </c>
      <c r="V600">
        <v>30</v>
      </c>
      <c r="W600" t="s">
        <v>68</v>
      </c>
      <c r="X600" t="s">
        <v>68</v>
      </c>
      <c r="Y600" t="s">
        <v>71</v>
      </c>
      <c r="Z600" t="s">
        <v>96</v>
      </c>
    </row>
    <row r="601" spans="1:26" x14ac:dyDescent="0.2">
      <c r="A601" t="s">
        <v>1277</v>
      </c>
      <c r="B601" t="s">
        <v>1278</v>
      </c>
      <c r="C601" t="s">
        <v>133</v>
      </c>
      <c r="D601" t="s">
        <v>134</v>
      </c>
      <c r="E601" t="s">
        <v>1279</v>
      </c>
      <c r="F601" t="s">
        <v>92</v>
      </c>
      <c r="G601" t="s">
        <v>65</v>
      </c>
      <c r="H601" t="s">
        <v>78</v>
      </c>
      <c r="I601" t="s">
        <v>148</v>
      </c>
      <c r="J601" s="3">
        <v>41798</v>
      </c>
      <c r="K601">
        <v>11.6</v>
      </c>
      <c r="L601">
        <v>44</v>
      </c>
      <c r="M601" s="4">
        <v>5500</v>
      </c>
      <c r="N601" s="4">
        <v>86841</v>
      </c>
      <c r="O601" t="s">
        <v>68</v>
      </c>
      <c r="P601" t="s">
        <v>68</v>
      </c>
      <c r="Q601">
        <v>3.45</v>
      </c>
      <c r="R601">
        <v>65</v>
      </c>
      <c r="S601">
        <v>2</v>
      </c>
      <c r="T601" t="s">
        <v>68</v>
      </c>
      <c r="U601">
        <v>8</v>
      </c>
      <c r="V601">
        <v>0</v>
      </c>
      <c r="W601" t="s">
        <v>70</v>
      </c>
      <c r="X601" t="s">
        <v>68</v>
      </c>
      <c r="Y601" t="s">
        <v>71</v>
      </c>
      <c r="Z601" t="s">
        <v>133</v>
      </c>
    </row>
    <row r="602" spans="1:26" x14ac:dyDescent="0.2">
      <c r="A602" t="s">
        <v>1280</v>
      </c>
      <c r="B602" t="s">
        <v>569</v>
      </c>
      <c r="C602" t="s">
        <v>74</v>
      </c>
      <c r="D602" t="s">
        <v>118</v>
      </c>
      <c r="E602" t="s">
        <v>947</v>
      </c>
      <c r="F602" t="s">
        <v>191</v>
      </c>
      <c r="G602" t="s">
        <v>65</v>
      </c>
      <c r="H602" t="s">
        <v>66</v>
      </c>
      <c r="I602" t="s">
        <v>99</v>
      </c>
      <c r="J602" s="3">
        <v>40986</v>
      </c>
      <c r="K602">
        <v>13.8</v>
      </c>
      <c r="L602">
        <v>58</v>
      </c>
      <c r="M602" s="4">
        <v>42300</v>
      </c>
      <c r="N602" s="4">
        <v>661709</v>
      </c>
      <c r="O602" t="s">
        <v>69</v>
      </c>
      <c r="P602" t="s">
        <v>68</v>
      </c>
      <c r="Q602">
        <v>3.23</v>
      </c>
      <c r="R602">
        <v>79</v>
      </c>
      <c r="S602">
        <v>54</v>
      </c>
      <c r="T602" t="s">
        <v>69</v>
      </c>
      <c r="U602">
        <v>6</v>
      </c>
      <c r="V602">
        <v>35</v>
      </c>
      <c r="W602" t="s">
        <v>69</v>
      </c>
      <c r="X602" t="s">
        <v>68</v>
      </c>
      <c r="Y602" t="s">
        <v>71</v>
      </c>
      <c r="Z602" t="s">
        <v>74</v>
      </c>
    </row>
    <row r="603" spans="1:26" x14ac:dyDescent="0.2">
      <c r="A603" t="s">
        <v>1281</v>
      </c>
      <c r="B603" t="s">
        <v>1282</v>
      </c>
      <c r="C603" t="s">
        <v>61</v>
      </c>
      <c r="D603" t="s">
        <v>62</v>
      </c>
      <c r="E603" t="s">
        <v>702</v>
      </c>
      <c r="F603" t="s">
        <v>120</v>
      </c>
      <c r="G603" t="s">
        <v>65</v>
      </c>
      <c r="H603" t="s">
        <v>66</v>
      </c>
      <c r="I603" t="s">
        <v>99</v>
      </c>
      <c r="J603" s="3">
        <v>44268</v>
      </c>
      <c r="K603">
        <v>4.8</v>
      </c>
      <c r="L603">
        <v>55</v>
      </c>
      <c r="M603" s="4">
        <v>8600</v>
      </c>
      <c r="N603" s="4">
        <v>123234</v>
      </c>
      <c r="O603" t="s">
        <v>68</v>
      </c>
      <c r="P603" t="s">
        <v>68</v>
      </c>
      <c r="Q603">
        <v>2.97</v>
      </c>
      <c r="R603">
        <v>66</v>
      </c>
      <c r="S603">
        <v>26</v>
      </c>
      <c r="T603" t="s">
        <v>69</v>
      </c>
      <c r="U603">
        <v>5</v>
      </c>
      <c r="V603">
        <v>7</v>
      </c>
      <c r="W603" t="s">
        <v>70</v>
      </c>
      <c r="X603" t="s">
        <v>68</v>
      </c>
      <c r="Y603" t="s">
        <v>71</v>
      </c>
      <c r="Z603" t="s">
        <v>61</v>
      </c>
    </row>
    <row r="604" spans="1:26" x14ac:dyDescent="0.2">
      <c r="A604" t="s">
        <v>1283</v>
      </c>
      <c r="B604" t="s">
        <v>1013</v>
      </c>
      <c r="C604" t="s">
        <v>61</v>
      </c>
      <c r="D604" t="s">
        <v>177</v>
      </c>
      <c r="E604" t="s">
        <v>639</v>
      </c>
      <c r="F604" t="s">
        <v>120</v>
      </c>
      <c r="G604" t="s">
        <v>85</v>
      </c>
      <c r="H604" t="s">
        <v>78</v>
      </c>
      <c r="I604" t="s">
        <v>111</v>
      </c>
      <c r="J604" s="3">
        <v>42779</v>
      </c>
      <c r="K604">
        <v>8.9</v>
      </c>
      <c r="L604">
        <v>36</v>
      </c>
      <c r="M604" s="4">
        <v>7500</v>
      </c>
      <c r="N604" s="4">
        <v>120316</v>
      </c>
      <c r="O604" t="s">
        <v>68</v>
      </c>
      <c r="P604" t="s">
        <v>68</v>
      </c>
      <c r="Q604">
        <v>3.36</v>
      </c>
      <c r="R604">
        <v>75</v>
      </c>
      <c r="S604">
        <v>15</v>
      </c>
      <c r="T604" t="s">
        <v>69</v>
      </c>
      <c r="U604">
        <v>7</v>
      </c>
      <c r="V604">
        <v>30</v>
      </c>
      <c r="W604" t="s">
        <v>70</v>
      </c>
      <c r="X604" t="s">
        <v>68</v>
      </c>
      <c r="Y604" t="s">
        <v>71</v>
      </c>
      <c r="Z604" t="s">
        <v>61</v>
      </c>
    </row>
    <row r="605" spans="1:26" x14ac:dyDescent="0.2">
      <c r="A605" t="s">
        <v>1284</v>
      </c>
      <c r="B605" t="s">
        <v>532</v>
      </c>
      <c r="C605" t="s">
        <v>102</v>
      </c>
      <c r="D605" t="s">
        <v>103</v>
      </c>
      <c r="E605" t="s">
        <v>279</v>
      </c>
      <c r="F605" t="s">
        <v>64</v>
      </c>
      <c r="G605" t="s">
        <v>65</v>
      </c>
      <c r="H605" t="s">
        <v>66</v>
      </c>
      <c r="I605" t="s">
        <v>148</v>
      </c>
      <c r="J605" s="3">
        <v>44211</v>
      </c>
      <c r="K605">
        <v>5</v>
      </c>
      <c r="L605">
        <v>58</v>
      </c>
      <c r="M605" s="4">
        <v>6100</v>
      </c>
      <c r="N605" s="4">
        <v>94132</v>
      </c>
      <c r="O605" t="s">
        <v>68</v>
      </c>
      <c r="P605" t="s">
        <v>69</v>
      </c>
      <c r="Q605">
        <v>3.19</v>
      </c>
      <c r="R605">
        <v>53</v>
      </c>
      <c r="S605">
        <v>26</v>
      </c>
      <c r="T605" t="s">
        <v>69</v>
      </c>
      <c r="U605">
        <v>2</v>
      </c>
      <c r="V605">
        <v>30</v>
      </c>
      <c r="W605" t="s">
        <v>70</v>
      </c>
      <c r="X605" t="s">
        <v>68</v>
      </c>
      <c r="Y605" t="s">
        <v>86</v>
      </c>
      <c r="Z605" t="s">
        <v>102</v>
      </c>
    </row>
    <row r="606" spans="1:26" x14ac:dyDescent="0.2">
      <c r="A606" t="s">
        <v>1285</v>
      </c>
      <c r="B606" t="s">
        <v>482</v>
      </c>
      <c r="C606" t="s">
        <v>124</v>
      </c>
      <c r="D606" t="s">
        <v>391</v>
      </c>
      <c r="E606" t="s">
        <v>418</v>
      </c>
      <c r="F606" t="s">
        <v>64</v>
      </c>
      <c r="G606" t="s">
        <v>65</v>
      </c>
      <c r="H606" t="s">
        <v>78</v>
      </c>
      <c r="I606" t="s">
        <v>99</v>
      </c>
      <c r="J606" s="3">
        <v>41472</v>
      </c>
      <c r="K606">
        <v>12.5</v>
      </c>
      <c r="L606">
        <v>36</v>
      </c>
      <c r="M606" s="4">
        <v>6900</v>
      </c>
      <c r="N606" s="4">
        <v>103718</v>
      </c>
      <c r="O606" t="s">
        <v>68</v>
      </c>
      <c r="P606" t="s">
        <v>69</v>
      </c>
      <c r="Q606">
        <v>2.93</v>
      </c>
      <c r="R606">
        <v>62</v>
      </c>
      <c r="S606">
        <v>38</v>
      </c>
      <c r="T606" t="s">
        <v>69</v>
      </c>
      <c r="U606">
        <v>6</v>
      </c>
      <c r="V606">
        <v>0</v>
      </c>
      <c r="W606" t="s">
        <v>70</v>
      </c>
      <c r="X606" t="s">
        <v>68</v>
      </c>
      <c r="Y606" t="s">
        <v>71</v>
      </c>
      <c r="Z606" t="s">
        <v>124</v>
      </c>
    </row>
    <row r="607" spans="1:26" x14ac:dyDescent="0.2">
      <c r="A607" t="s">
        <v>1286</v>
      </c>
      <c r="B607" t="s">
        <v>1287</v>
      </c>
      <c r="C607" t="s">
        <v>108</v>
      </c>
      <c r="D607" t="s">
        <v>109</v>
      </c>
      <c r="E607" t="s">
        <v>110</v>
      </c>
      <c r="F607" t="s">
        <v>92</v>
      </c>
      <c r="G607" t="s">
        <v>65</v>
      </c>
      <c r="H607" t="s">
        <v>78</v>
      </c>
      <c r="I607" t="s">
        <v>99</v>
      </c>
      <c r="J607" s="3">
        <v>43618</v>
      </c>
      <c r="K607">
        <v>6.6</v>
      </c>
      <c r="L607">
        <v>36</v>
      </c>
      <c r="M607" s="4">
        <v>4300</v>
      </c>
      <c r="N607" s="4">
        <v>70464</v>
      </c>
      <c r="O607" t="s">
        <v>68</v>
      </c>
      <c r="P607" t="s">
        <v>69</v>
      </c>
      <c r="Q607">
        <v>2.72</v>
      </c>
      <c r="R607">
        <v>62</v>
      </c>
      <c r="S607">
        <v>9</v>
      </c>
      <c r="T607" t="s">
        <v>69</v>
      </c>
      <c r="U607">
        <v>0</v>
      </c>
      <c r="V607">
        <v>28</v>
      </c>
      <c r="W607" t="s">
        <v>70</v>
      </c>
      <c r="X607" t="s">
        <v>68</v>
      </c>
      <c r="Y607" t="s">
        <v>86</v>
      </c>
      <c r="Z607" t="s">
        <v>108</v>
      </c>
    </row>
    <row r="608" spans="1:26" x14ac:dyDescent="0.2">
      <c r="A608" t="s">
        <v>1288</v>
      </c>
      <c r="B608" t="s">
        <v>1289</v>
      </c>
      <c r="C608" t="s">
        <v>108</v>
      </c>
      <c r="D608" t="s">
        <v>194</v>
      </c>
      <c r="E608" t="s">
        <v>293</v>
      </c>
      <c r="F608" t="s">
        <v>92</v>
      </c>
      <c r="G608" t="s">
        <v>65</v>
      </c>
      <c r="H608" t="s">
        <v>78</v>
      </c>
      <c r="I608" t="s">
        <v>79</v>
      </c>
      <c r="J608" s="3">
        <v>45907</v>
      </c>
      <c r="K608">
        <v>0.3</v>
      </c>
      <c r="L608">
        <v>47</v>
      </c>
      <c r="M608" s="4">
        <v>4800</v>
      </c>
      <c r="N608" s="4">
        <v>75478</v>
      </c>
      <c r="O608" t="s">
        <v>68</v>
      </c>
      <c r="P608" t="s">
        <v>69</v>
      </c>
      <c r="Q608">
        <v>3.05</v>
      </c>
      <c r="R608">
        <v>48</v>
      </c>
      <c r="S608">
        <v>57</v>
      </c>
      <c r="T608" t="s">
        <v>68</v>
      </c>
      <c r="U608">
        <v>5</v>
      </c>
      <c r="V608">
        <v>20</v>
      </c>
      <c r="W608" t="s">
        <v>70</v>
      </c>
      <c r="X608" t="s">
        <v>68</v>
      </c>
      <c r="Y608" t="s">
        <v>86</v>
      </c>
      <c r="Z608" t="s">
        <v>108</v>
      </c>
    </row>
    <row r="609" spans="1:26" x14ac:dyDescent="0.2">
      <c r="A609" t="s">
        <v>1290</v>
      </c>
      <c r="B609" t="s">
        <v>1291</v>
      </c>
      <c r="C609" t="s">
        <v>74</v>
      </c>
      <c r="D609" t="s">
        <v>118</v>
      </c>
      <c r="E609" t="s">
        <v>438</v>
      </c>
      <c r="F609" t="s">
        <v>64</v>
      </c>
      <c r="G609" t="s">
        <v>85</v>
      </c>
      <c r="H609" t="s">
        <v>66</v>
      </c>
      <c r="I609" t="s">
        <v>115</v>
      </c>
      <c r="J609" s="3">
        <v>42408</v>
      </c>
      <c r="K609">
        <v>9.9</v>
      </c>
      <c r="L609">
        <v>60</v>
      </c>
      <c r="M609" s="4">
        <v>6800</v>
      </c>
      <c r="N609" s="4">
        <v>103790</v>
      </c>
      <c r="O609" t="s">
        <v>68</v>
      </c>
      <c r="P609" t="s">
        <v>68</v>
      </c>
      <c r="Q609">
        <v>2.33</v>
      </c>
      <c r="R609">
        <v>38</v>
      </c>
      <c r="S609">
        <v>38</v>
      </c>
      <c r="T609" t="s">
        <v>69</v>
      </c>
      <c r="U609">
        <v>9</v>
      </c>
      <c r="V609">
        <v>24</v>
      </c>
      <c r="W609" t="s">
        <v>70</v>
      </c>
      <c r="X609" t="s">
        <v>68</v>
      </c>
      <c r="Y609" t="s">
        <v>86</v>
      </c>
      <c r="Z609" t="s">
        <v>74</v>
      </c>
    </row>
    <row r="610" spans="1:26" x14ac:dyDescent="0.2">
      <c r="A610" t="s">
        <v>1292</v>
      </c>
      <c r="B610" t="s">
        <v>794</v>
      </c>
      <c r="C610" t="s">
        <v>124</v>
      </c>
      <c r="D610" t="s">
        <v>243</v>
      </c>
      <c r="E610" t="s">
        <v>911</v>
      </c>
      <c r="F610" t="s">
        <v>84</v>
      </c>
      <c r="G610" t="s">
        <v>65</v>
      </c>
      <c r="H610" t="s">
        <v>78</v>
      </c>
      <c r="I610" t="s">
        <v>111</v>
      </c>
      <c r="J610" s="3">
        <v>41198</v>
      </c>
      <c r="K610">
        <v>13.2</v>
      </c>
      <c r="L610">
        <v>51</v>
      </c>
      <c r="M610" s="4">
        <v>15800</v>
      </c>
      <c r="N610" s="4">
        <v>229032</v>
      </c>
      <c r="O610" t="s">
        <v>69</v>
      </c>
      <c r="P610" t="s">
        <v>68</v>
      </c>
      <c r="Q610">
        <v>3.42</v>
      </c>
      <c r="R610">
        <v>77</v>
      </c>
      <c r="S610">
        <v>22</v>
      </c>
      <c r="T610" t="s">
        <v>69</v>
      </c>
      <c r="U610">
        <v>4</v>
      </c>
      <c r="V610">
        <v>22</v>
      </c>
      <c r="W610" t="s">
        <v>68</v>
      </c>
      <c r="X610" t="s">
        <v>68</v>
      </c>
      <c r="Y610" t="s">
        <v>71</v>
      </c>
      <c r="Z610" t="s">
        <v>124</v>
      </c>
    </row>
    <row r="611" spans="1:26" x14ac:dyDescent="0.2">
      <c r="A611" t="s">
        <v>1293</v>
      </c>
      <c r="B611" t="s">
        <v>424</v>
      </c>
      <c r="C611" t="s">
        <v>133</v>
      </c>
      <c r="D611" t="s">
        <v>213</v>
      </c>
      <c r="E611" t="s">
        <v>1102</v>
      </c>
      <c r="F611" t="s">
        <v>64</v>
      </c>
      <c r="G611" t="s">
        <v>65</v>
      </c>
      <c r="H611" t="s">
        <v>66</v>
      </c>
      <c r="I611" t="s">
        <v>554</v>
      </c>
      <c r="J611" s="3">
        <v>42871</v>
      </c>
      <c r="K611">
        <v>8.6</v>
      </c>
      <c r="L611">
        <v>57</v>
      </c>
      <c r="M611" s="4">
        <v>8200</v>
      </c>
      <c r="N611" s="4">
        <v>128200</v>
      </c>
      <c r="O611" t="s">
        <v>69</v>
      </c>
      <c r="P611" t="s">
        <v>68</v>
      </c>
      <c r="Q611">
        <v>3.08</v>
      </c>
      <c r="R611">
        <v>65</v>
      </c>
      <c r="S611">
        <v>3</v>
      </c>
      <c r="T611" t="s">
        <v>69</v>
      </c>
      <c r="U611">
        <v>11</v>
      </c>
      <c r="V611">
        <v>9</v>
      </c>
      <c r="W611" t="s">
        <v>68</v>
      </c>
      <c r="X611" t="s">
        <v>68</v>
      </c>
      <c r="Y611" t="s">
        <v>71</v>
      </c>
      <c r="Z611" t="s">
        <v>133</v>
      </c>
    </row>
    <row r="612" spans="1:26" x14ac:dyDescent="0.2">
      <c r="A612" t="s">
        <v>1294</v>
      </c>
      <c r="B612" t="s">
        <v>794</v>
      </c>
      <c r="C612" t="s">
        <v>108</v>
      </c>
      <c r="D612" t="s">
        <v>109</v>
      </c>
      <c r="E612" t="s">
        <v>264</v>
      </c>
      <c r="F612" t="s">
        <v>64</v>
      </c>
      <c r="G612" t="s">
        <v>65</v>
      </c>
      <c r="H612" t="s">
        <v>78</v>
      </c>
      <c r="I612" t="s">
        <v>79</v>
      </c>
      <c r="J612" s="3">
        <v>41432</v>
      </c>
      <c r="K612">
        <v>12.6</v>
      </c>
      <c r="L612">
        <v>59</v>
      </c>
      <c r="M612" s="4">
        <v>6900</v>
      </c>
      <c r="N612" s="4">
        <v>108083</v>
      </c>
      <c r="O612" t="s">
        <v>68</v>
      </c>
      <c r="P612" t="s">
        <v>69</v>
      </c>
      <c r="Q612">
        <v>2.89</v>
      </c>
      <c r="R612">
        <v>54</v>
      </c>
      <c r="S612">
        <v>37</v>
      </c>
      <c r="T612" t="s">
        <v>69</v>
      </c>
      <c r="U612">
        <v>10</v>
      </c>
      <c r="V612">
        <v>45</v>
      </c>
      <c r="W612" t="s">
        <v>70</v>
      </c>
      <c r="X612" t="s">
        <v>68</v>
      </c>
      <c r="Y612" t="s">
        <v>86</v>
      </c>
      <c r="Z612" t="s">
        <v>108</v>
      </c>
    </row>
    <row r="613" spans="1:26" x14ac:dyDescent="0.2">
      <c r="A613" t="s">
        <v>1295</v>
      </c>
      <c r="B613" t="s">
        <v>229</v>
      </c>
      <c r="C613" t="s">
        <v>108</v>
      </c>
      <c r="D613" t="s">
        <v>109</v>
      </c>
      <c r="E613" t="s">
        <v>264</v>
      </c>
      <c r="F613" t="s">
        <v>64</v>
      </c>
      <c r="G613" t="s">
        <v>65</v>
      </c>
      <c r="H613" t="s">
        <v>66</v>
      </c>
      <c r="I613" t="s">
        <v>148</v>
      </c>
      <c r="J613" s="3">
        <v>45085</v>
      </c>
      <c r="K613">
        <v>2.6</v>
      </c>
      <c r="L613">
        <v>24</v>
      </c>
      <c r="M613" s="4">
        <v>7800</v>
      </c>
      <c r="N613" s="4">
        <v>115760</v>
      </c>
      <c r="O613" t="s">
        <v>68</v>
      </c>
      <c r="P613" t="s">
        <v>69</v>
      </c>
      <c r="Q613">
        <v>2.52</v>
      </c>
      <c r="R613">
        <v>62</v>
      </c>
      <c r="S613">
        <v>13</v>
      </c>
      <c r="T613" t="s">
        <v>69</v>
      </c>
      <c r="U613">
        <v>5</v>
      </c>
      <c r="V613">
        <v>20</v>
      </c>
      <c r="W613" t="s">
        <v>70</v>
      </c>
      <c r="X613" t="s">
        <v>68</v>
      </c>
      <c r="Y613" t="s">
        <v>86</v>
      </c>
      <c r="Z613" t="s">
        <v>108</v>
      </c>
    </row>
    <row r="614" spans="1:26" x14ac:dyDescent="0.2">
      <c r="A614" t="s">
        <v>1296</v>
      </c>
      <c r="B614" t="s">
        <v>1081</v>
      </c>
      <c r="C614" t="s">
        <v>102</v>
      </c>
      <c r="D614" t="s">
        <v>166</v>
      </c>
      <c r="E614" t="s">
        <v>801</v>
      </c>
      <c r="F614" t="s">
        <v>84</v>
      </c>
      <c r="G614" t="s">
        <v>85</v>
      </c>
      <c r="H614" t="s">
        <v>78</v>
      </c>
      <c r="I614" t="s">
        <v>236</v>
      </c>
      <c r="J614" s="3">
        <v>43331</v>
      </c>
      <c r="K614">
        <v>7.4</v>
      </c>
      <c r="L614">
        <v>58</v>
      </c>
      <c r="M614" s="4">
        <v>16600</v>
      </c>
      <c r="N614" s="4">
        <v>266094</v>
      </c>
      <c r="O614" t="s">
        <v>69</v>
      </c>
      <c r="P614" t="s">
        <v>69</v>
      </c>
      <c r="Q614">
        <v>2.9</v>
      </c>
      <c r="R614">
        <v>61</v>
      </c>
      <c r="S614">
        <v>41</v>
      </c>
      <c r="T614" t="s">
        <v>69</v>
      </c>
      <c r="U614">
        <v>12</v>
      </c>
      <c r="V614">
        <v>42</v>
      </c>
      <c r="W614" t="s">
        <v>69</v>
      </c>
      <c r="X614" t="s">
        <v>68</v>
      </c>
      <c r="Y614" t="s">
        <v>86</v>
      </c>
      <c r="Z614" t="s">
        <v>102</v>
      </c>
    </row>
    <row r="615" spans="1:26" x14ac:dyDescent="0.2">
      <c r="A615" t="s">
        <v>1297</v>
      </c>
      <c r="B615" t="s">
        <v>515</v>
      </c>
      <c r="C615" t="s">
        <v>74</v>
      </c>
      <c r="D615" t="s">
        <v>75</v>
      </c>
      <c r="E615" t="s">
        <v>307</v>
      </c>
      <c r="F615" t="s">
        <v>120</v>
      </c>
      <c r="G615" t="s">
        <v>65</v>
      </c>
      <c r="H615" t="s">
        <v>78</v>
      </c>
      <c r="I615" t="s">
        <v>99</v>
      </c>
      <c r="J615" s="3">
        <v>45447</v>
      </c>
      <c r="K615">
        <v>1.6</v>
      </c>
      <c r="L615">
        <v>59</v>
      </c>
      <c r="M615" s="4">
        <v>8200</v>
      </c>
      <c r="N615" s="4">
        <v>128983</v>
      </c>
      <c r="O615" t="s">
        <v>68</v>
      </c>
      <c r="P615" t="s">
        <v>68</v>
      </c>
      <c r="Q615">
        <v>3.25</v>
      </c>
      <c r="R615">
        <v>72</v>
      </c>
      <c r="S615">
        <v>12</v>
      </c>
      <c r="T615" t="s">
        <v>69</v>
      </c>
      <c r="U615">
        <v>7</v>
      </c>
      <c r="V615">
        <v>73</v>
      </c>
      <c r="W615" t="s">
        <v>70</v>
      </c>
      <c r="X615" t="s">
        <v>68</v>
      </c>
      <c r="Y615" t="s">
        <v>86</v>
      </c>
      <c r="Z615" t="s">
        <v>74</v>
      </c>
    </row>
    <row r="616" spans="1:26" x14ac:dyDescent="0.2">
      <c r="A616" t="s">
        <v>1298</v>
      </c>
      <c r="B616" t="s">
        <v>602</v>
      </c>
      <c r="C616" t="s">
        <v>108</v>
      </c>
      <c r="D616" t="s">
        <v>109</v>
      </c>
      <c r="E616" t="s">
        <v>355</v>
      </c>
      <c r="F616" t="s">
        <v>77</v>
      </c>
      <c r="G616" t="s">
        <v>85</v>
      </c>
      <c r="H616" t="s">
        <v>66</v>
      </c>
      <c r="I616" t="s">
        <v>111</v>
      </c>
      <c r="J616" s="3">
        <v>41249</v>
      </c>
      <c r="K616">
        <v>13.1</v>
      </c>
      <c r="L616">
        <v>25</v>
      </c>
      <c r="M616" s="4">
        <v>10100</v>
      </c>
      <c r="N616" s="4">
        <v>165728</v>
      </c>
      <c r="O616" t="s">
        <v>68</v>
      </c>
      <c r="P616" t="s">
        <v>69</v>
      </c>
      <c r="Q616">
        <v>3.01</v>
      </c>
      <c r="R616">
        <v>64</v>
      </c>
      <c r="S616">
        <v>27</v>
      </c>
      <c r="T616" t="s">
        <v>69</v>
      </c>
      <c r="U616">
        <v>8</v>
      </c>
      <c r="V616">
        <v>38</v>
      </c>
      <c r="W616" t="s">
        <v>70</v>
      </c>
      <c r="X616" t="s">
        <v>68</v>
      </c>
      <c r="Y616" t="s">
        <v>71</v>
      </c>
      <c r="Z616" t="s">
        <v>108</v>
      </c>
    </row>
    <row r="617" spans="1:26" x14ac:dyDescent="0.2">
      <c r="A617" t="s">
        <v>1299</v>
      </c>
      <c r="B617" t="s">
        <v>1063</v>
      </c>
      <c r="C617" t="s">
        <v>102</v>
      </c>
      <c r="D617" t="s">
        <v>339</v>
      </c>
      <c r="E617" t="s">
        <v>921</v>
      </c>
      <c r="F617" t="s">
        <v>84</v>
      </c>
      <c r="G617" t="s">
        <v>65</v>
      </c>
      <c r="H617" t="s">
        <v>66</v>
      </c>
      <c r="I617" t="s">
        <v>99</v>
      </c>
      <c r="J617" s="3">
        <v>43968</v>
      </c>
      <c r="K617">
        <v>5.6</v>
      </c>
      <c r="L617">
        <v>58</v>
      </c>
      <c r="M617" s="4">
        <v>20700</v>
      </c>
      <c r="N617" s="4">
        <v>297725</v>
      </c>
      <c r="O617" t="s">
        <v>69</v>
      </c>
      <c r="P617" t="s">
        <v>69</v>
      </c>
      <c r="Q617">
        <v>3.51</v>
      </c>
      <c r="R617">
        <v>58</v>
      </c>
      <c r="S617">
        <v>30</v>
      </c>
      <c r="T617" t="s">
        <v>68</v>
      </c>
      <c r="U617">
        <v>11</v>
      </c>
      <c r="V617">
        <v>24</v>
      </c>
      <c r="W617" t="s">
        <v>69</v>
      </c>
      <c r="X617" t="s">
        <v>69</v>
      </c>
      <c r="Y617" t="s">
        <v>71</v>
      </c>
      <c r="Z617" t="s">
        <v>102</v>
      </c>
    </row>
    <row r="618" spans="1:26" x14ac:dyDescent="0.2">
      <c r="A618" t="s">
        <v>1300</v>
      </c>
      <c r="B618" t="s">
        <v>1301</v>
      </c>
      <c r="C618" t="s">
        <v>96</v>
      </c>
      <c r="D618" t="s">
        <v>129</v>
      </c>
      <c r="E618" t="s">
        <v>562</v>
      </c>
      <c r="F618" t="s">
        <v>77</v>
      </c>
      <c r="G618" t="s">
        <v>65</v>
      </c>
      <c r="H618" t="s">
        <v>78</v>
      </c>
      <c r="I618" t="s">
        <v>105</v>
      </c>
      <c r="J618" s="3">
        <v>45020</v>
      </c>
      <c r="K618">
        <v>2.7</v>
      </c>
      <c r="L618">
        <v>60</v>
      </c>
      <c r="M618" s="4">
        <v>9900</v>
      </c>
      <c r="N618" s="4">
        <v>155554</v>
      </c>
      <c r="O618" t="s">
        <v>68</v>
      </c>
      <c r="P618" t="s">
        <v>69</v>
      </c>
      <c r="Q618">
        <v>3.31</v>
      </c>
      <c r="R618">
        <v>70</v>
      </c>
      <c r="S618">
        <v>28</v>
      </c>
      <c r="T618" t="s">
        <v>69</v>
      </c>
      <c r="U618">
        <v>8</v>
      </c>
      <c r="V618">
        <v>0</v>
      </c>
      <c r="W618" t="s">
        <v>70</v>
      </c>
      <c r="X618" t="s">
        <v>68</v>
      </c>
      <c r="Y618" t="s">
        <v>71</v>
      </c>
      <c r="Z618" t="s">
        <v>96</v>
      </c>
    </row>
    <row r="619" spans="1:26" x14ac:dyDescent="0.2">
      <c r="A619" t="s">
        <v>1302</v>
      </c>
      <c r="B619" t="s">
        <v>1077</v>
      </c>
      <c r="C619" t="s">
        <v>108</v>
      </c>
      <c r="D619" t="s">
        <v>222</v>
      </c>
      <c r="E619" t="s">
        <v>693</v>
      </c>
      <c r="F619" t="s">
        <v>64</v>
      </c>
      <c r="G619" t="s">
        <v>65</v>
      </c>
      <c r="H619" t="s">
        <v>78</v>
      </c>
      <c r="I619" t="s">
        <v>99</v>
      </c>
      <c r="J619" s="3">
        <v>41126</v>
      </c>
      <c r="K619">
        <v>13.4</v>
      </c>
      <c r="L619">
        <v>51</v>
      </c>
      <c r="M619" s="4">
        <v>6600</v>
      </c>
      <c r="N619" s="4">
        <v>103943</v>
      </c>
      <c r="O619" t="s">
        <v>69</v>
      </c>
      <c r="P619" t="s">
        <v>69</v>
      </c>
      <c r="Q619">
        <v>2.68</v>
      </c>
      <c r="R619">
        <v>73</v>
      </c>
      <c r="S619">
        <v>13</v>
      </c>
      <c r="T619" t="s">
        <v>69</v>
      </c>
      <c r="U619">
        <v>13</v>
      </c>
      <c r="V619">
        <v>0</v>
      </c>
      <c r="W619" t="s">
        <v>68</v>
      </c>
      <c r="X619" t="s">
        <v>68</v>
      </c>
      <c r="Y619" t="s">
        <v>71</v>
      </c>
      <c r="Z619" t="s">
        <v>108</v>
      </c>
    </row>
    <row r="620" spans="1:26" x14ac:dyDescent="0.2">
      <c r="A620" t="s">
        <v>1303</v>
      </c>
      <c r="B620" t="s">
        <v>940</v>
      </c>
      <c r="C620" t="s">
        <v>143</v>
      </c>
      <c r="D620" t="s">
        <v>158</v>
      </c>
      <c r="E620" t="s">
        <v>607</v>
      </c>
      <c r="F620" t="s">
        <v>92</v>
      </c>
      <c r="G620" t="s">
        <v>65</v>
      </c>
      <c r="H620" t="s">
        <v>66</v>
      </c>
      <c r="I620" t="s">
        <v>148</v>
      </c>
      <c r="J620" s="3">
        <v>44353</v>
      </c>
      <c r="K620">
        <v>4.5999999999999996</v>
      </c>
      <c r="L620">
        <v>28</v>
      </c>
      <c r="M620" s="4">
        <v>4100</v>
      </c>
      <c r="N620" s="4">
        <v>65293</v>
      </c>
      <c r="O620" t="s">
        <v>69</v>
      </c>
      <c r="P620" t="s">
        <v>69</v>
      </c>
      <c r="Q620">
        <v>3.28</v>
      </c>
      <c r="R620">
        <v>58</v>
      </c>
      <c r="S620">
        <v>21</v>
      </c>
      <c r="T620" t="s">
        <v>69</v>
      </c>
      <c r="U620">
        <v>4</v>
      </c>
      <c r="V620">
        <v>0</v>
      </c>
      <c r="W620" t="s">
        <v>69</v>
      </c>
      <c r="X620" t="s">
        <v>68</v>
      </c>
      <c r="Y620" t="s">
        <v>71</v>
      </c>
      <c r="Z620" t="s">
        <v>143</v>
      </c>
    </row>
    <row r="621" spans="1:26" x14ac:dyDescent="0.2">
      <c r="A621" t="s">
        <v>1304</v>
      </c>
      <c r="B621" t="s">
        <v>574</v>
      </c>
      <c r="C621" t="s">
        <v>96</v>
      </c>
      <c r="D621" t="s">
        <v>129</v>
      </c>
      <c r="E621" t="s">
        <v>271</v>
      </c>
      <c r="F621" t="s">
        <v>92</v>
      </c>
      <c r="G621" t="s">
        <v>65</v>
      </c>
      <c r="H621" t="s">
        <v>78</v>
      </c>
      <c r="I621" t="s">
        <v>67</v>
      </c>
      <c r="J621" s="3">
        <v>42756</v>
      </c>
      <c r="K621">
        <v>9</v>
      </c>
      <c r="L621">
        <v>57</v>
      </c>
      <c r="M621" s="4">
        <v>3400</v>
      </c>
      <c r="N621" s="4">
        <v>54761</v>
      </c>
      <c r="O621" t="s">
        <v>68</v>
      </c>
      <c r="P621" t="s">
        <v>69</v>
      </c>
      <c r="Q621">
        <v>3.09</v>
      </c>
      <c r="R621">
        <v>52</v>
      </c>
      <c r="S621">
        <v>13</v>
      </c>
      <c r="T621" t="s">
        <v>68</v>
      </c>
      <c r="U621">
        <v>0</v>
      </c>
      <c r="V621">
        <v>25</v>
      </c>
      <c r="W621" t="s">
        <v>70</v>
      </c>
      <c r="X621" t="s">
        <v>68</v>
      </c>
      <c r="Y621" t="s">
        <v>86</v>
      </c>
      <c r="Z621" t="s">
        <v>96</v>
      </c>
    </row>
    <row r="622" spans="1:26" x14ac:dyDescent="0.2">
      <c r="A622" t="s">
        <v>1305</v>
      </c>
      <c r="B622" t="s">
        <v>1306</v>
      </c>
      <c r="C622" t="s">
        <v>133</v>
      </c>
      <c r="D622" t="s">
        <v>15</v>
      </c>
      <c r="E622" t="s">
        <v>890</v>
      </c>
      <c r="F622" t="s">
        <v>77</v>
      </c>
      <c r="G622" t="s">
        <v>65</v>
      </c>
      <c r="H622" t="s">
        <v>66</v>
      </c>
      <c r="I622" t="s">
        <v>111</v>
      </c>
      <c r="J622" s="3">
        <v>45134</v>
      </c>
      <c r="K622">
        <v>2.4</v>
      </c>
      <c r="L622">
        <v>54</v>
      </c>
      <c r="M622" s="4">
        <v>12300</v>
      </c>
      <c r="N622" s="4">
        <v>190748</v>
      </c>
      <c r="O622" t="s">
        <v>68</v>
      </c>
      <c r="P622" t="s">
        <v>68</v>
      </c>
      <c r="Q622">
        <v>3.3</v>
      </c>
      <c r="R622">
        <v>74</v>
      </c>
      <c r="S622">
        <v>40</v>
      </c>
      <c r="T622" t="s">
        <v>69</v>
      </c>
      <c r="U622">
        <v>5</v>
      </c>
      <c r="V622">
        <v>18</v>
      </c>
      <c r="W622" t="s">
        <v>70</v>
      </c>
      <c r="X622" t="s">
        <v>68</v>
      </c>
      <c r="Y622" t="s">
        <v>71</v>
      </c>
      <c r="Z622" t="s">
        <v>133</v>
      </c>
    </row>
    <row r="623" spans="1:26" x14ac:dyDescent="0.2">
      <c r="A623" t="s">
        <v>1307</v>
      </c>
      <c r="B623" t="s">
        <v>864</v>
      </c>
      <c r="C623" t="s">
        <v>89</v>
      </c>
      <c r="D623" t="s">
        <v>230</v>
      </c>
      <c r="E623" t="s">
        <v>586</v>
      </c>
      <c r="F623" t="s">
        <v>92</v>
      </c>
      <c r="G623" t="s">
        <v>85</v>
      </c>
      <c r="H623" t="s">
        <v>66</v>
      </c>
      <c r="I623" t="s">
        <v>148</v>
      </c>
      <c r="J623" s="3">
        <v>42190</v>
      </c>
      <c r="K623">
        <v>10.5</v>
      </c>
      <c r="L623">
        <v>53</v>
      </c>
      <c r="M623" s="4">
        <v>4700</v>
      </c>
      <c r="N623" s="4">
        <v>66783</v>
      </c>
      <c r="O623" t="s">
        <v>68</v>
      </c>
      <c r="P623" t="s">
        <v>69</v>
      </c>
      <c r="Q623">
        <v>2.67</v>
      </c>
      <c r="R623">
        <v>58</v>
      </c>
      <c r="S623">
        <v>31</v>
      </c>
      <c r="T623" t="s">
        <v>69</v>
      </c>
      <c r="U623">
        <v>4</v>
      </c>
      <c r="V623">
        <v>26</v>
      </c>
      <c r="W623" t="s">
        <v>70</v>
      </c>
      <c r="X623" t="s">
        <v>68</v>
      </c>
      <c r="Y623" t="s">
        <v>86</v>
      </c>
      <c r="Z623" t="s">
        <v>89</v>
      </c>
    </row>
    <row r="624" spans="1:26" x14ac:dyDescent="0.2">
      <c r="A624" t="s">
        <v>1308</v>
      </c>
      <c r="B624" t="s">
        <v>1013</v>
      </c>
      <c r="C624" t="s">
        <v>108</v>
      </c>
      <c r="D624" t="s">
        <v>222</v>
      </c>
      <c r="E624" t="s">
        <v>1309</v>
      </c>
      <c r="F624" t="s">
        <v>191</v>
      </c>
      <c r="G624" t="s">
        <v>215</v>
      </c>
      <c r="H624" t="s">
        <v>66</v>
      </c>
      <c r="I624" t="s">
        <v>111</v>
      </c>
      <c r="J624" s="3">
        <v>45740</v>
      </c>
      <c r="K624">
        <v>0.8</v>
      </c>
      <c r="L624">
        <v>39</v>
      </c>
      <c r="M624" s="4">
        <v>49500</v>
      </c>
      <c r="N624" s="4">
        <v>765606</v>
      </c>
      <c r="O624" t="s">
        <v>69</v>
      </c>
      <c r="P624" t="s">
        <v>69</v>
      </c>
      <c r="Q624">
        <v>3.26</v>
      </c>
      <c r="R624">
        <v>48</v>
      </c>
      <c r="S624">
        <v>43</v>
      </c>
      <c r="T624" t="s">
        <v>69</v>
      </c>
      <c r="U624">
        <v>3</v>
      </c>
      <c r="V624">
        <v>14</v>
      </c>
      <c r="W624" t="s">
        <v>69</v>
      </c>
      <c r="X624" t="s">
        <v>68</v>
      </c>
      <c r="Y624" t="s">
        <v>86</v>
      </c>
      <c r="Z624" t="s">
        <v>108</v>
      </c>
    </row>
    <row r="625" spans="1:26" x14ac:dyDescent="0.2">
      <c r="A625" t="s">
        <v>1310</v>
      </c>
      <c r="B625" t="s">
        <v>238</v>
      </c>
      <c r="C625" t="s">
        <v>108</v>
      </c>
      <c r="D625" t="s">
        <v>222</v>
      </c>
      <c r="E625" t="s">
        <v>693</v>
      </c>
      <c r="F625" t="s">
        <v>64</v>
      </c>
      <c r="G625" t="s">
        <v>215</v>
      </c>
      <c r="H625" t="s">
        <v>78</v>
      </c>
      <c r="I625" t="s">
        <v>93</v>
      </c>
      <c r="J625" s="3">
        <v>45129</v>
      </c>
      <c r="K625">
        <v>2.4</v>
      </c>
      <c r="L625">
        <v>32</v>
      </c>
      <c r="M625" s="4">
        <v>6500</v>
      </c>
      <c r="N625" s="4">
        <v>96845</v>
      </c>
      <c r="O625" t="s">
        <v>68</v>
      </c>
      <c r="P625" t="s">
        <v>69</v>
      </c>
      <c r="Q625">
        <v>2.87</v>
      </c>
      <c r="R625">
        <v>65</v>
      </c>
      <c r="S625">
        <v>12</v>
      </c>
      <c r="T625" t="s">
        <v>69</v>
      </c>
      <c r="U625">
        <v>4</v>
      </c>
      <c r="V625">
        <v>9</v>
      </c>
      <c r="W625" t="s">
        <v>70</v>
      </c>
      <c r="X625" t="s">
        <v>68</v>
      </c>
      <c r="Y625" t="s">
        <v>71</v>
      </c>
      <c r="Z625" t="s">
        <v>108</v>
      </c>
    </row>
    <row r="626" spans="1:26" x14ac:dyDescent="0.2">
      <c r="A626" t="s">
        <v>1311</v>
      </c>
      <c r="B626" t="s">
        <v>838</v>
      </c>
      <c r="C626" t="s">
        <v>89</v>
      </c>
      <c r="D626" t="s">
        <v>239</v>
      </c>
      <c r="E626" t="s">
        <v>1312</v>
      </c>
      <c r="F626" t="s">
        <v>84</v>
      </c>
      <c r="G626" t="s">
        <v>65</v>
      </c>
      <c r="H626" t="s">
        <v>66</v>
      </c>
      <c r="I626" t="s">
        <v>93</v>
      </c>
      <c r="J626" s="3">
        <v>43153</v>
      </c>
      <c r="K626">
        <v>7.9</v>
      </c>
      <c r="L626">
        <v>45</v>
      </c>
      <c r="M626" s="4">
        <v>18700</v>
      </c>
      <c r="N626" s="4">
        <v>277354</v>
      </c>
      <c r="O626" t="s">
        <v>69</v>
      </c>
      <c r="P626" t="s">
        <v>69</v>
      </c>
      <c r="Q626">
        <v>3.31</v>
      </c>
      <c r="R626">
        <v>62</v>
      </c>
      <c r="S626">
        <v>36</v>
      </c>
      <c r="T626" t="s">
        <v>69</v>
      </c>
      <c r="U626">
        <v>0</v>
      </c>
      <c r="V626">
        <v>14</v>
      </c>
      <c r="W626" t="s">
        <v>69</v>
      </c>
      <c r="X626" t="s">
        <v>68</v>
      </c>
      <c r="Y626" t="s">
        <v>71</v>
      </c>
      <c r="Z626" t="s">
        <v>89</v>
      </c>
    </row>
    <row r="627" spans="1:26" x14ac:dyDescent="0.2">
      <c r="A627" t="s">
        <v>1313</v>
      </c>
      <c r="B627" t="s">
        <v>1196</v>
      </c>
      <c r="C627" t="s">
        <v>89</v>
      </c>
      <c r="D627" t="s">
        <v>239</v>
      </c>
      <c r="E627" t="s">
        <v>384</v>
      </c>
      <c r="F627" t="s">
        <v>136</v>
      </c>
      <c r="G627" t="s">
        <v>227</v>
      </c>
      <c r="H627" t="s">
        <v>78</v>
      </c>
      <c r="I627" t="s">
        <v>79</v>
      </c>
      <c r="J627" s="3">
        <v>43398</v>
      </c>
      <c r="K627">
        <v>7.2</v>
      </c>
      <c r="L627">
        <v>38</v>
      </c>
      <c r="M627" s="4">
        <v>17200</v>
      </c>
      <c r="N627" s="4">
        <v>274875</v>
      </c>
      <c r="O627" t="s">
        <v>68</v>
      </c>
      <c r="P627" t="s">
        <v>69</v>
      </c>
      <c r="Q627">
        <v>3.66</v>
      </c>
      <c r="R627">
        <v>68</v>
      </c>
      <c r="S627">
        <v>23</v>
      </c>
      <c r="T627" t="s">
        <v>69</v>
      </c>
      <c r="U627">
        <v>0</v>
      </c>
      <c r="V627">
        <v>22</v>
      </c>
      <c r="W627" t="s">
        <v>70</v>
      </c>
      <c r="X627" t="s">
        <v>69</v>
      </c>
      <c r="Y627" t="s">
        <v>71</v>
      </c>
      <c r="Z627" t="s">
        <v>89</v>
      </c>
    </row>
    <row r="628" spans="1:26" x14ac:dyDescent="0.2">
      <c r="A628" t="s">
        <v>1314</v>
      </c>
      <c r="B628" t="s">
        <v>740</v>
      </c>
      <c r="C628" t="s">
        <v>133</v>
      </c>
      <c r="D628" t="s">
        <v>15</v>
      </c>
      <c r="E628" t="s">
        <v>1315</v>
      </c>
      <c r="F628" t="s">
        <v>84</v>
      </c>
      <c r="G628" t="s">
        <v>85</v>
      </c>
      <c r="H628" t="s">
        <v>66</v>
      </c>
      <c r="I628" t="s">
        <v>148</v>
      </c>
      <c r="J628" s="3">
        <v>41189</v>
      </c>
      <c r="K628">
        <v>13.2</v>
      </c>
      <c r="L628">
        <v>34</v>
      </c>
      <c r="M628" s="4">
        <v>20000</v>
      </c>
      <c r="N628" s="4">
        <v>289252</v>
      </c>
      <c r="O628" t="s">
        <v>69</v>
      </c>
      <c r="P628" t="s">
        <v>68</v>
      </c>
      <c r="Q628">
        <v>3.64</v>
      </c>
      <c r="R628">
        <v>71</v>
      </c>
      <c r="S628">
        <v>32</v>
      </c>
      <c r="T628" t="s">
        <v>69</v>
      </c>
      <c r="U628">
        <v>4</v>
      </c>
      <c r="V628">
        <v>0</v>
      </c>
      <c r="W628" t="s">
        <v>69</v>
      </c>
      <c r="X628" t="s">
        <v>69</v>
      </c>
      <c r="Y628" t="s">
        <v>71</v>
      </c>
      <c r="Z628" t="s">
        <v>133</v>
      </c>
    </row>
    <row r="629" spans="1:26" x14ac:dyDescent="0.2">
      <c r="A629" t="s">
        <v>1316</v>
      </c>
      <c r="B629" t="s">
        <v>273</v>
      </c>
      <c r="C629" t="s">
        <v>108</v>
      </c>
      <c r="D629" t="s">
        <v>222</v>
      </c>
      <c r="E629" t="s">
        <v>693</v>
      </c>
      <c r="F629" t="s">
        <v>64</v>
      </c>
      <c r="G629" t="s">
        <v>227</v>
      </c>
      <c r="H629" t="s">
        <v>78</v>
      </c>
      <c r="I629" t="s">
        <v>148</v>
      </c>
      <c r="J629" s="3">
        <v>45770</v>
      </c>
      <c r="K629">
        <v>0.7</v>
      </c>
      <c r="L629">
        <v>37</v>
      </c>
      <c r="M629" s="4">
        <v>6200</v>
      </c>
      <c r="N629" s="4">
        <v>95708</v>
      </c>
      <c r="O629" t="s">
        <v>68</v>
      </c>
      <c r="P629" t="s">
        <v>69</v>
      </c>
      <c r="Q629">
        <v>3.19</v>
      </c>
      <c r="R629">
        <v>69</v>
      </c>
      <c r="S629">
        <v>51</v>
      </c>
      <c r="T629" t="s">
        <v>69</v>
      </c>
      <c r="U629">
        <v>6</v>
      </c>
      <c r="V629">
        <v>0</v>
      </c>
      <c r="W629" t="s">
        <v>70</v>
      </c>
      <c r="X629" t="s">
        <v>68</v>
      </c>
      <c r="Y629" t="s">
        <v>71</v>
      </c>
      <c r="Z629" t="s">
        <v>108</v>
      </c>
    </row>
    <row r="630" spans="1:26" x14ac:dyDescent="0.2">
      <c r="A630" t="s">
        <v>1317</v>
      </c>
      <c r="B630" t="s">
        <v>1220</v>
      </c>
      <c r="C630" t="s">
        <v>12</v>
      </c>
      <c r="D630" t="s">
        <v>421</v>
      </c>
      <c r="E630" t="s">
        <v>492</v>
      </c>
      <c r="F630" t="s">
        <v>120</v>
      </c>
      <c r="G630" t="s">
        <v>65</v>
      </c>
      <c r="H630" t="s">
        <v>66</v>
      </c>
      <c r="I630" t="s">
        <v>99</v>
      </c>
      <c r="J630" s="3">
        <v>44420</v>
      </c>
      <c r="K630">
        <v>4.4000000000000004</v>
      </c>
      <c r="L630">
        <v>42</v>
      </c>
      <c r="M630" s="4">
        <v>6900</v>
      </c>
      <c r="N630" s="4">
        <v>105489</v>
      </c>
      <c r="O630" t="s">
        <v>68</v>
      </c>
      <c r="P630" t="s">
        <v>68</v>
      </c>
      <c r="Q630">
        <v>2.78</v>
      </c>
      <c r="R630">
        <v>63</v>
      </c>
      <c r="S630">
        <v>28</v>
      </c>
      <c r="T630" t="s">
        <v>69</v>
      </c>
      <c r="U630">
        <v>10</v>
      </c>
      <c r="V630">
        <v>0</v>
      </c>
      <c r="W630" t="s">
        <v>70</v>
      </c>
      <c r="X630" t="s">
        <v>68</v>
      </c>
      <c r="Y630" t="s">
        <v>71</v>
      </c>
      <c r="Z630" t="s">
        <v>12</v>
      </c>
    </row>
    <row r="631" spans="1:26" x14ac:dyDescent="0.2">
      <c r="A631" t="s">
        <v>1318</v>
      </c>
      <c r="B631" t="s">
        <v>309</v>
      </c>
      <c r="C631" t="s">
        <v>102</v>
      </c>
      <c r="D631" t="s">
        <v>183</v>
      </c>
      <c r="E631" t="s">
        <v>945</v>
      </c>
      <c r="F631" t="s">
        <v>174</v>
      </c>
      <c r="G631" t="s">
        <v>215</v>
      </c>
      <c r="H631" t="s">
        <v>78</v>
      </c>
      <c r="I631" t="s">
        <v>111</v>
      </c>
      <c r="J631" s="3">
        <v>45455</v>
      </c>
      <c r="K631">
        <v>1.6</v>
      </c>
      <c r="L631">
        <v>31</v>
      </c>
      <c r="M631" s="4">
        <v>25300</v>
      </c>
      <c r="N631" s="4">
        <v>382576</v>
      </c>
      <c r="O631" t="s">
        <v>69</v>
      </c>
      <c r="P631" t="s">
        <v>69</v>
      </c>
      <c r="Q631">
        <v>2.75</v>
      </c>
      <c r="R631">
        <v>53</v>
      </c>
      <c r="S631">
        <v>5</v>
      </c>
      <c r="T631" t="s">
        <v>68</v>
      </c>
      <c r="U631">
        <v>4</v>
      </c>
      <c r="V631">
        <v>22</v>
      </c>
      <c r="W631" t="s">
        <v>68</v>
      </c>
      <c r="X631" t="s">
        <v>68</v>
      </c>
      <c r="Y631" t="s">
        <v>86</v>
      </c>
      <c r="Z631" t="s">
        <v>102</v>
      </c>
    </row>
    <row r="632" spans="1:26" x14ac:dyDescent="0.2">
      <c r="A632" t="s">
        <v>1319</v>
      </c>
      <c r="B632" t="s">
        <v>564</v>
      </c>
      <c r="C632" t="s">
        <v>89</v>
      </c>
      <c r="D632" t="s">
        <v>154</v>
      </c>
      <c r="E632" t="s">
        <v>1320</v>
      </c>
      <c r="F632" t="s">
        <v>191</v>
      </c>
      <c r="G632" t="s">
        <v>65</v>
      </c>
      <c r="H632" t="s">
        <v>66</v>
      </c>
      <c r="I632" t="s">
        <v>67</v>
      </c>
      <c r="J632" s="3">
        <v>44781</v>
      </c>
      <c r="K632">
        <v>3.4</v>
      </c>
      <c r="L632">
        <v>52</v>
      </c>
      <c r="M632" s="4">
        <v>47600</v>
      </c>
      <c r="N632" s="4">
        <v>772846</v>
      </c>
      <c r="O632" t="s">
        <v>69</v>
      </c>
      <c r="P632" t="s">
        <v>69</v>
      </c>
      <c r="Q632">
        <v>3.47</v>
      </c>
      <c r="R632">
        <v>58</v>
      </c>
      <c r="S632">
        <v>57</v>
      </c>
      <c r="T632" t="s">
        <v>69</v>
      </c>
      <c r="U632">
        <v>3</v>
      </c>
      <c r="V632">
        <v>21</v>
      </c>
      <c r="W632" t="s">
        <v>69</v>
      </c>
      <c r="X632" t="s">
        <v>68</v>
      </c>
      <c r="Y632" t="s">
        <v>71</v>
      </c>
      <c r="Z632" t="s">
        <v>89</v>
      </c>
    </row>
    <row r="633" spans="1:26" x14ac:dyDescent="0.2">
      <c r="A633" t="s">
        <v>1321</v>
      </c>
      <c r="B633" t="s">
        <v>113</v>
      </c>
      <c r="C633" t="s">
        <v>74</v>
      </c>
      <c r="D633" t="s">
        <v>139</v>
      </c>
      <c r="E633" t="s">
        <v>140</v>
      </c>
      <c r="F633" t="s">
        <v>64</v>
      </c>
      <c r="G633" t="s">
        <v>65</v>
      </c>
      <c r="H633" t="s">
        <v>78</v>
      </c>
      <c r="I633" t="s">
        <v>148</v>
      </c>
      <c r="J633" s="3">
        <v>45705</v>
      </c>
      <c r="K633">
        <v>0.9</v>
      </c>
      <c r="L633">
        <v>43</v>
      </c>
      <c r="M633" s="4">
        <v>6800</v>
      </c>
      <c r="N633" s="4">
        <v>111943</v>
      </c>
      <c r="O633" t="s">
        <v>68</v>
      </c>
      <c r="P633" t="s">
        <v>68</v>
      </c>
      <c r="Q633">
        <v>3.24</v>
      </c>
      <c r="R633">
        <v>73</v>
      </c>
      <c r="S633">
        <v>30</v>
      </c>
      <c r="T633" t="s">
        <v>69</v>
      </c>
      <c r="U633">
        <v>0</v>
      </c>
      <c r="V633">
        <v>50</v>
      </c>
      <c r="W633" t="s">
        <v>70</v>
      </c>
      <c r="X633" t="s">
        <v>68</v>
      </c>
      <c r="Y633" t="s">
        <v>86</v>
      </c>
      <c r="Z633" t="s">
        <v>74</v>
      </c>
    </row>
    <row r="634" spans="1:26" x14ac:dyDescent="0.2">
      <c r="A634" t="s">
        <v>1322</v>
      </c>
      <c r="B634" t="s">
        <v>1038</v>
      </c>
      <c r="C634" t="s">
        <v>89</v>
      </c>
      <c r="D634" t="s">
        <v>154</v>
      </c>
      <c r="E634" t="s">
        <v>155</v>
      </c>
      <c r="F634" t="s">
        <v>120</v>
      </c>
      <c r="G634" t="s">
        <v>215</v>
      </c>
      <c r="H634" t="s">
        <v>66</v>
      </c>
      <c r="I634" t="s">
        <v>111</v>
      </c>
      <c r="J634" s="3">
        <v>45698</v>
      </c>
      <c r="K634">
        <v>0.9</v>
      </c>
      <c r="L634">
        <v>34</v>
      </c>
      <c r="M634" s="4">
        <v>8900</v>
      </c>
      <c r="N634" s="4">
        <v>135920</v>
      </c>
      <c r="O634" t="s">
        <v>68</v>
      </c>
      <c r="P634" t="s">
        <v>69</v>
      </c>
      <c r="Q634">
        <v>4</v>
      </c>
      <c r="R634">
        <v>51</v>
      </c>
      <c r="S634">
        <v>24</v>
      </c>
      <c r="T634" t="s">
        <v>69</v>
      </c>
      <c r="U634">
        <v>3</v>
      </c>
      <c r="V634">
        <v>40</v>
      </c>
      <c r="W634" t="s">
        <v>70</v>
      </c>
      <c r="X634" t="s">
        <v>69</v>
      </c>
      <c r="Y634" t="s">
        <v>86</v>
      </c>
      <c r="Z634" t="s">
        <v>89</v>
      </c>
    </row>
    <row r="635" spans="1:26" x14ac:dyDescent="0.2">
      <c r="A635" t="s">
        <v>1323</v>
      </c>
      <c r="B635" t="s">
        <v>938</v>
      </c>
      <c r="C635" t="s">
        <v>102</v>
      </c>
      <c r="D635" t="s">
        <v>339</v>
      </c>
      <c r="E635" t="s">
        <v>340</v>
      </c>
      <c r="F635" t="s">
        <v>77</v>
      </c>
      <c r="G635" t="s">
        <v>65</v>
      </c>
      <c r="H635" t="s">
        <v>66</v>
      </c>
      <c r="I635" t="s">
        <v>99</v>
      </c>
      <c r="J635" s="3">
        <v>42933</v>
      </c>
      <c r="K635">
        <v>8.5</v>
      </c>
      <c r="L635">
        <v>43</v>
      </c>
      <c r="M635" s="4">
        <v>11500</v>
      </c>
      <c r="N635" s="4">
        <v>179571</v>
      </c>
      <c r="O635" t="s">
        <v>68</v>
      </c>
      <c r="P635" t="s">
        <v>69</v>
      </c>
      <c r="Q635">
        <v>3.1</v>
      </c>
      <c r="R635">
        <v>63</v>
      </c>
      <c r="S635">
        <v>39</v>
      </c>
      <c r="T635" t="s">
        <v>69</v>
      </c>
      <c r="U635">
        <v>6</v>
      </c>
      <c r="V635">
        <v>48</v>
      </c>
      <c r="W635" t="s">
        <v>70</v>
      </c>
      <c r="X635" t="s">
        <v>68</v>
      </c>
      <c r="Y635" t="s">
        <v>86</v>
      </c>
      <c r="Z635" t="s">
        <v>102</v>
      </c>
    </row>
    <row r="636" spans="1:26" x14ac:dyDescent="0.2">
      <c r="A636" t="s">
        <v>1324</v>
      </c>
      <c r="B636" t="s">
        <v>1325</v>
      </c>
      <c r="C636" t="s">
        <v>61</v>
      </c>
      <c r="D636" t="s">
        <v>604</v>
      </c>
      <c r="E636" t="s">
        <v>792</v>
      </c>
      <c r="F636" t="s">
        <v>120</v>
      </c>
      <c r="G636" t="s">
        <v>65</v>
      </c>
      <c r="H636" t="s">
        <v>78</v>
      </c>
      <c r="I636" t="s">
        <v>99</v>
      </c>
      <c r="J636" s="3">
        <v>44571</v>
      </c>
      <c r="K636">
        <v>4</v>
      </c>
      <c r="L636">
        <v>36</v>
      </c>
      <c r="M636" s="4">
        <v>8100</v>
      </c>
      <c r="N636" s="4">
        <v>118500</v>
      </c>
      <c r="O636" t="s">
        <v>68</v>
      </c>
      <c r="P636" t="s">
        <v>68</v>
      </c>
      <c r="Q636">
        <v>2.87</v>
      </c>
      <c r="R636">
        <v>66</v>
      </c>
      <c r="S636">
        <v>43</v>
      </c>
      <c r="T636" t="s">
        <v>69</v>
      </c>
      <c r="U636">
        <v>9</v>
      </c>
      <c r="V636">
        <v>19</v>
      </c>
      <c r="W636" t="s">
        <v>70</v>
      </c>
      <c r="X636" t="s">
        <v>68</v>
      </c>
      <c r="Y636" t="s">
        <v>71</v>
      </c>
      <c r="Z636" t="s">
        <v>61</v>
      </c>
    </row>
    <row r="637" spans="1:26" x14ac:dyDescent="0.2">
      <c r="A637" t="s">
        <v>1326</v>
      </c>
      <c r="B637" t="s">
        <v>1327</v>
      </c>
      <c r="C637" t="s">
        <v>133</v>
      </c>
      <c r="D637" t="s">
        <v>213</v>
      </c>
      <c r="E637" t="s">
        <v>927</v>
      </c>
      <c r="F637" t="s">
        <v>77</v>
      </c>
      <c r="G637" t="s">
        <v>65</v>
      </c>
      <c r="H637" t="s">
        <v>66</v>
      </c>
      <c r="I637" t="s">
        <v>148</v>
      </c>
      <c r="J637" s="3">
        <v>43091</v>
      </c>
      <c r="K637">
        <v>8</v>
      </c>
      <c r="L637">
        <v>37</v>
      </c>
      <c r="M637" s="4">
        <v>12200</v>
      </c>
      <c r="N637" s="4">
        <v>201261</v>
      </c>
      <c r="O637" t="s">
        <v>68</v>
      </c>
      <c r="P637" t="s">
        <v>68</v>
      </c>
      <c r="Q637">
        <v>3.61</v>
      </c>
      <c r="R637">
        <v>67</v>
      </c>
      <c r="S637">
        <v>26</v>
      </c>
      <c r="T637" t="s">
        <v>69</v>
      </c>
      <c r="U637">
        <v>6</v>
      </c>
      <c r="V637">
        <v>0</v>
      </c>
      <c r="W637" t="s">
        <v>70</v>
      </c>
      <c r="X637" t="s">
        <v>69</v>
      </c>
      <c r="Y637" t="s">
        <v>71</v>
      </c>
      <c r="Z637" t="s">
        <v>133</v>
      </c>
    </row>
    <row r="638" spans="1:26" x14ac:dyDescent="0.2">
      <c r="A638" t="s">
        <v>1328</v>
      </c>
      <c r="B638" t="s">
        <v>497</v>
      </c>
      <c r="C638" t="s">
        <v>96</v>
      </c>
      <c r="D638" t="s">
        <v>162</v>
      </c>
      <c r="E638" t="s">
        <v>1329</v>
      </c>
      <c r="F638" t="s">
        <v>174</v>
      </c>
      <c r="G638" t="s">
        <v>215</v>
      </c>
      <c r="H638" t="s">
        <v>78</v>
      </c>
      <c r="I638" t="s">
        <v>67</v>
      </c>
      <c r="J638" s="3">
        <v>41378</v>
      </c>
      <c r="K638">
        <v>12.7</v>
      </c>
      <c r="L638">
        <v>39</v>
      </c>
      <c r="M638" s="4">
        <v>25100</v>
      </c>
      <c r="N638" s="4">
        <v>359756</v>
      </c>
      <c r="O638" t="s">
        <v>69</v>
      </c>
      <c r="P638" t="s">
        <v>69</v>
      </c>
      <c r="Q638">
        <v>3.21</v>
      </c>
      <c r="R638">
        <v>61</v>
      </c>
      <c r="S638">
        <v>25</v>
      </c>
      <c r="T638" t="s">
        <v>69</v>
      </c>
      <c r="U638">
        <v>5</v>
      </c>
      <c r="V638">
        <v>0</v>
      </c>
      <c r="W638" t="s">
        <v>68</v>
      </c>
      <c r="X638" t="s">
        <v>68</v>
      </c>
      <c r="Y638" t="s">
        <v>71</v>
      </c>
      <c r="Z638" t="s">
        <v>96</v>
      </c>
    </row>
    <row r="639" spans="1:26" x14ac:dyDescent="0.2">
      <c r="A639" t="s">
        <v>1330</v>
      </c>
      <c r="B639" t="s">
        <v>286</v>
      </c>
      <c r="C639" t="s">
        <v>108</v>
      </c>
      <c r="D639" t="s">
        <v>194</v>
      </c>
      <c r="E639" t="s">
        <v>296</v>
      </c>
      <c r="F639" t="s">
        <v>120</v>
      </c>
      <c r="G639" t="s">
        <v>215</v>
      </c>
      <c r="H639" t="s">
        <v>66</v>
      </c>
      <c r="I639" t="s">
        <v>67</v>
      </c>
      <c r="J639" s="3">
        <v>43025</v>
      </c>
      <c r="K639">
        <v>8.1999999999999993</v>
      </c>
      <c r="L639">
        <v>37</v>
      </c>
      <c r="M639" s="4">
        <v>8300</v>
      </c>
      <c r="N639" s="4">
        <v>136897</v>
      </c>
      <c r="O639" t="s">
        <v>68</v>
      </c>
      <c r="P639" t="s">
        <v>69</v>
      </c>
      <c r="Q639">
        <v>2.82</v>
      </c>
      <c r="R639">
        <v>68</v>
      </c>
      <c r="S639">
        <v>17</v>
      </c>
      <c r="T639" t="s">
        <v>68</v>
      </c>
      <c r="U639">
        <v>5</v>
      </c>
      <c r="V639">
        <v>19</v>
      </c>
      <c r="W639" t="s">
        <v>70</v>
      </c>
      <c r="X639" t="s">
        <v>68</v>
      </c>
      <c r="Y639" t="s">
        <v>71</v>
      </c>
      <c r="Z639" t="s">
        <v>108</v>
      </c>
    </row>
    <row r="640" spans="1:26" x14ac:dyDescent="0.2">
      <c r="A640" t="s">
        <v>1331</v>
      </c>
      <c r="B640" t="s">
        <v>642</v>
      </c>
      <c r="C640" t="s">
        <v>61</v>
      </c>
      <c r="D640" t="s">
        <v>177</v>
      </c>
      <c r="E640" t="s">
        <v>178</v>
      </c>
      <c r="F640" t="s">
        <v>77</v>
      </c>
      <c r="G640" t="s">
        <v>85</v>
      </c>
      <c r="H640" t="s">
        <v>78</v>
      </c>
      <c r="I640" t="s">
        <v>111</v>
      </c>
      <c r="J640" s="3">
        <v>42640</v>
      </c>
      <c r="K640">
        <v>9.3000000000000007</v>
      </c>
      <c r="L640">
        <v>59</v>
      </c>
      <c r="M640" s="4">
        <v>11800</v>
      </c>
      <c r="N640" s="4">
        <v>170600</v>
      </c>
      <c r="O640" t="s">
        <v>68</v>
      </c>
      <c r="P640" t="s">
        <v>69</v>
      </c>
      <c r="Q640">
        <v>3.38</v>
      </c>
      <c r="R640">
        <v>71</v>
      </c>
      <c r="S640">
        <v>31</v>
      </c>
      <c r="T640" t="s">
        <v>69</v>
      </c>
      <c r="U640">
        <v>1</v>
      </c>
      <c r="V640">
        <v>0</v>
      </c>
      <c r="W640" t="s">
        <v>70</v>
      </c>
      <c r="X640" t="s">
        <v>68</v>
      </c>
      <c r="Y640" t="s">
        <v>71</v>
      </c>
      <c r="Z640" t="s">
        <v>61</v>
      </c>
    </row>
    <row r="641" spans="1:26" x14ac:dyDescent="0.2">
      <c r="A641" t="s">
        <v>1332</v>
      </c>
      <c r="B641" t="s">
        <v>1333</v>
      </c>
      <c r="C641" t="s">
        <v>74</v>
      </c>
      <c r="D641" t="s">
        <v>139</v>
      </c>
      <c r="E641" t="s">
        <v>1334</v>
      </c>
      <c r="F641" t="s">
        <v>191</v>
      </c>
      <c r="G641" t="s">
        <v>65</v>
      </c>
      <c r="H641" t="s">
        <v>66</v>
      </c>
      <c r="I641" t="s">
        <v>148</v>
      </c>
      <c r="J641" s="3">
        <v>42267</v>
      </c>
      <c r="K641">
        <v>10.3</v>
      </c>
      <c r="L641">
        <v>29</v>
      </c>
      <c r="M641" s="4">
        <v>44400</v>
      </c>
      <c r="N641" s="4">
        <v>631543</v>
      </c>
      <c r="O641" t="s">
        <v>69</v>
      </c>
      <c r="P641" t="s">
        <v>68</v>
      </c>
      <c r="Q641">
        <v>3.22</v>
      </c>
      <c r="R641">
        <v>67</v>
      </c>
      <c r="S641">
        <v>28</v>
      </c>
      <c r="T641" t="s">
        <v>69</v>
      </c>
      <c r="U641">
        <v>13</v>
      </c>
      <c r="V641">
        <v>37</v>
      </c>
      <c r="W641" t="s">
        <v>69</v>
      </c>
      <c r="X641" t="s">
        <v>68</v>
      </c>
      <c r="Y641" t="s">
        <v>71</v>
      </c>
      <c r="Z641" t="s">
        <v>74</v>
      </c>
    </row>
    <row r="642" spans="1:26" x14ac:dyDescent="0.2">
      <c r="A642" t="s">
        <v>1335</v>
      </c>
      <c r="B642" t="s">
        <v>1123</v>
      </c>
      <c r="C642" t="s">
        <v>143</v>
      </c>
      <c r="D642" t="s">
        <v>552</v>
      </c>
      <c r="E642" t="s">
        <v>1336</v>
      </c>
      <c r="F642" t="s">
        <v>191</v>
      </c>
      <c r="G642" t="s">
        <v>65</v>
      </c>
      <c r="H642" t="s">
        <v>78</v>
      </c>
      <c r="I642" t="s">
        <v>467</v>
      </c>
      <c r="J642" s="3">
        <v>42244</v>
      </c>
      <c r="K642">
        <v>10.4</v>
      </c>
      <c r="L642">
        <v>40</v>
      </c>
      <c r="M642" s="4">
        <v>28800</v>
      </c>
      <c r="N642" s="4">
        <v>415468</v>
      </c>
      <c r="O642" t="s">
        <v>69</v>
      </c>
      <c r="P642" t="s">
        <v>69</v>
      </c>
      <c r="Q642">
        <v>3.38</v>
      </c>
      <c r="R642">
        <v>62</v>
      </c>
      <c r="S642">
        <v>33</v>
      </c>
      <c r="T642" t="s">
        <v>69</v>
      </c>
      <c r="U642">
        <v>8</v>
      </c>
      <c r="V642">
        <v>50</v>
      </c>
      <c r="W642" t="s">
        <v>68</v>
      </c>
      <c r="X642" t="s">
        <v>68</v>
      </c>
      <c r="Y642" t="s">
        <v>86</v>
      </c>
      <c r="Z642" t="s">
        <v>143</v>
      </c>
    </row>
    <row r="643" spans="1:26" x14ac:dyDescent="0.2">
      <c r="A643" t="s">
        <v>1337</v>
      </c>
      <c r="B643" t="s">
        <v>649</v>
      </c>
      <c r="C643" t="s">
        <v>12</v>
      </c>
      <c r="D643" t="s">
        <v>421</v>
      </c>
      <c r="E643" t="s">
        <v>1338</v>
      </c>
      <c r="F643" t="s">
        <v>84</v>
      </c>
      <c r="G643" t="s">
        <v>65</v>
      </c>
      <c r="H643" t="s">
        <v>78</v>
      </c>
      <c r="I643" t="s">
        <v>99</v>
      </c>
      <c r="J643" s="3">
        <v>43609</v>
      </c>
      <c r="K643">
        <v>6.6</v>
      </c>
      <c r="L643">
        <v>30</v>
      </c>
      <c r="M643" s="4">
        <v>17000</v>
      </c>
      <c r="N643" s="4">
        <v>243557</v>
      </c>
      <c r="O643" t="s">
        <v>69</v>
      </c>
      <c r="P643" t="s">
        <v>68</v>
      </c>
      <c r="Q643">
        <v>3.42</v>
      </c>
      <c r="R643">
        <v>78</v>
      </c>
      <c r="S643">
        <v>64</v>
      </c>
      <c r="T643" t="s">
        <v>69</v>
      </c>
      <c r="U643">
        <v>14</v>
      </c>
      <c r="V643">
        <v>4</v>
      </c>
      <c r="W643" t="s">
        <v>68</v>
      </c>
      <c r="X643" t="s">
        <v>68</v>
      </c>
      <c r="Y643" t="s">
        <v>71</v>
      </c>
      <c r="Z643" t="s">
        <v>12</v>
      </c>
    </row>
    <row r="644" spans="1:26" x14ac:dyDescent="0.2">
      <c r="A644" t="s">
        <v>1339</v>
      </c>
      <c r="B644" t="s">
        <v>1340</v>
      </c>
      <c r="C644" t="s">
        <v>74</v>
      </c>
      <c r="D644" t="s">
        <v>139</v>
      </c>
      <c r="E644" t="s">
        <v>197</v>
      </c>
      <c r="F644" t="s">
        <v>120</v>
      </c>
      <c r="G644" t="s">
        <v>65</v>
      </c>
      <c r="H644" t="s">
        <v>78</v>
      </c>
      <c r="I644" t="s">
        <v>93</v>
      </c>
      <c r="J644" s="3">
        <v>41400</v>
      </c>
      <c r="K644">
        <v>12.7</v>
      </c>
      <c r="L644">
        <v>54</v>
      </c>
      <c r="M644" s="4">
        <v>9200</v>
      </c>
      <c r="N644" s="4">
        <v>137735</v>
      </c>
      <c r="O644" t="s">
        <v>68</v>
      </c>
      <c r="P644" t="s">
        <v>68</v>
      </c>
      <c r="Q644">
        <v>3.15</v>
      </c>
      <c r="R644">
        <v>61</v>
      </c>
      <c r="S644">
        <v>18</v>
      </c>
      <c r="T644" t="s">
        <v>69</v>
      </c>
      <c r="U644">
        <v>7</v>
      </c>
      <c r="V644">
        <v>45</v>
      </c>
      <c r="W644" t="s">
        <v>70</v>
      </c>
      <c r="X644" t="s">
        <v>68</v>
      </c>
      <c r="Y644" t="s">
        <v>86</v>
      </c>
      <c r="Z644" t="s">
        <v>74</v>
      </c>
    </row>
    <row r="645" spans="1:26" x14ac:dyDescent="0.2">
      <c r="A645" t="s">
        <v>1341</v>
      </c>
      <c r="B645" t="s">
        <v>783</v>
      </c>
      <c r="C645" t="s">
        <v>108</v>
      </c>
      <c r="D645" t="s">
        <v>194</v>
      </c>
      <c r="E645" t="s">
        <v>381</v>
      </c>
      <c r="F645" t="s">
        <v>77</v>
      </c>
      <c r="G645" t="s">
        <v>65</v>
      </c>
      <c r="H645" t="s">
        <v>78</v>
      </c>
      <c r="I645" t="s">
        <v>148</v>
      </c>
      <c r="J645" s="3">
        <v>42332</v>
      </c>
      <c r="K645">
        <v>10.1</v>
      </c>
      <c r="L645">
        <v>45</v>
      </c>
      <c r="M645" s="4">
        <v>10200</v>
      </c>
      <c r="N645" s="4">
        <v>166264</v>
      </c>
      <c r="O645" t="s">
        <v>68</v>
      </c>
      <c r="P645" t="s">
        <v>69</v>
      </c>
      <c r="Q645">
        <v>2.61</v>
      </c>
      <c r="R645">
        <v>69</v>
      </c>
      <c r="S645">
        <v>17</v>
      </c>
      <c r="T645" t="s">
        <v>69</v>
      </c>
      <c r="U645">
        <v>5</v>
      </c>
      <c r="V645">
        <v>11</v>
      </c>
      <c r="W645" t="s">
        <v>70</v>
      </c>
      <c r="X645" t="s">
        <v>68</v>
      </c>
      <c r="Y645" t="s">
        <v>71</v>
      </c>
      <c r="Z645" t="s">
        <v>108</v>
      </c>
    </row>
    <row r="646" spans="1:26" x14ac:dyDescent="0.2">
      <c r="A646" t="s">
        <v>1342</v>
      </c>
      <c r="B646" t="s">
        <v>962</v>
      </c>
      <c r="C646" t="s">
        <v>108</v>
      </c>
      <c r="D646" t="s">
        <v>222</v>
      </c>
      <c r="E646" t="s">
        <v>693</v>
      </c>
      <c r="F646" t="s">
        <v>64</v>
      </c>
      <c r="G646" t="s">
        <v>65</v>
      </c>
      <c r="H646" t="s">
        <v>78</v>
      </c>
      <c r="I646" t="s">
        <v>99</v>
      </c>
      <c r="J646" s="3">
        <v>44467</v>
      </c>
      <c r="K646">
        <v>4.3</v>
      </c>
      <c r="L646">
        <v>42</v>
      </c>
      <c r="M646" s="4">
        <v>6200</v>
      </c>
      <c r="N646" s="4">
        <v>100881</v>
      </c>
      <c r="O646" t="s">
        <v>68</v>
      </c>
      <c r="P646" t="s">
        <v>69</v>
      </c>
      <c r="Q646">
        <v>3.16</v>
      </c>
      <c r="R646">
        <v>69</v>
      </c>
      <c r="S646">
        <v>37</v>
      </c>
      <c r="T646" t="s">
        <v>69</v>
      </c>
      <c r="U646">
        <v>14</v>
      </c>
      <c r="V646">
        <v>5</v>
      </c>
      <c r="W646" t="s">
        <v>70</v>
      </c>
      <c r="X646" t="s">
        <v>68</v>
      </c>
      <c r="Y646" t="s">
        <v>71</v>
      </c>
      <c r="Z646" t="s">
        <v>108</v>
      </c>
    </row>
    <row r="647" spans="1:26" x14ac:dyDescent="0.2">
      <c r="A647" t="s">
        <v>1343</v>
      </c>
      <c r="B647" t="s">
        <v>360</v>
      </c>
      <c r="C647" t="s">
        <v>108</v>
      </c>
      <c r="D647" t="s">
        <v>194</v>
      </c>
      <c r="E647" t="s">
        <v>1344</v>
      </c>
      <c r="F647" t="s">
        <v>174</v>
      </c>
      <c r="G647" t="s">
        <v>65</v>
      </c>
      <c r="H647" t="s">
        <v>78</v>
      </c>
      <c r="I647" t="s">
        <v>99</v>
      </c>
      <c r="J647" s="3">
        <v>43371</v>
      </c>
      <c r="K647">
        <v>7.3</v>
      </c>
      <c r="L647">
        <v>55</v>
      </c>
      <c r="M647" s="4">
        <v>24400</v>
      </c>
      <c r="N647" s="4">
        <v>358456</v>
      </c>
      <c r="O647" t="s">
        <v>69</v>
      </c>
      <c r="P647" t="s">
        <v>69</v>
      </c>
      <c r="Q647">
        <v>3.34</v>
      </c>
      <c r="R647">
        <v>72</v>
      </c>
      <c r="S647">
        <v>44</v>
      </c>
      <c r="T647" t="s">
        <v>69</v>
      </c>
      <c r="U647">
        <v>9</v>
      </c>
      <c r="V647">
        <v>26</v>
      </c>
      <c r="W647" t="s">
        <v>69</v>
      </c>
      <c r="X647" t="s">
        <v>68</v>
      </c>
      <c r="Y647" t="s">
        <v>71</v>
      </c>
      <c r="Z647" t="s">
        <v>108</v>
      </c>
    </row>
    <row r="648" spans="1:26" x14ac:dyDescent="0.2">
      <c r="A648" t="s">
        <v>1345</v>
      </c>
      <c r="B648" t="s">
        <v>414</v>
      </c>
      <c r="C648" t="s">
        <v>102</v>
      </c>
      <c r="D648" t="s">
        <v>103</v>
      </c>
      <c r="E648" t="s">
        <v>104</v>
      </c>
      <c r="F648" t="s">
        <v>92</v>
      </c>
      <c r="G648" t="s">
        <v>65</v>
      </c>
      <c r="H648" t="s">
        <v>78</v>
      </c>
      <c r="I648" t="s">
        <v>67</v>
      </c>
      <c r="J648" s="3">
        <v>41037</v>
      </c>
      <c r="K648">
        <v>13.7</v>
      </c>
      <c r="L648">
        <v>50</v>
      </c>
      <c r="M648" s="4">
        <v>5100</v>
      </c>
      <c r="N648" s="4">
        <v>78080</v>
      </c>
      <c r="O648" t="s">
        <v>68</v>
      </c>
      <c r="P648" t="s">
        <v>69</v>
      </c>
      <c r="Q648">
        <v>2.86</v>
      </c>
      <c r="R648">
        <v>57</v>
      </c>
      <c r="S648">
        <v>17</v>
      </c>
      <c r="T648" t="s">
        <v>69</v>
      </c>
      <c r="U648">
        <v>6</v>
      </c>
      <c r="V648">
        <v>47</v>
      </c>
      <c r="W648" t="s">
        <v>70</v>
      </c>
      <c r="X648" t="s">
        <v>68</v>
      </c>
      <c r="Y648" t="s">
        <v>86</v>
      </c>
      <c r="Z648" t="s">
        <v>102</v>
      </c>
    </row>
    <row r="649" spans="1:26" x14ac:dyDescent="0.2">
      <c r="A649" t="s">
        <v>1346</v>
      </c>
      <c r="B649" t="s">
        <v>1287</v>
      </c>
      <c r="C649" t="s">
        <v>74</v>
      </c>
      <c r="D649" t="s">
        <v>118</v>
      </c>
      <c r="E649" t="s">
        <v>511</v>
      </c>
      <c r="F649" t="s">
        <v>77</v>
      </c>
      <c r="G649" t="s">
        <v>65</v>
      </c>
      <c r="H649" t="s">
        <v>66</v>
      </c>
      <c r="I649" t="s">
        <v>236</v>
      </c>
      <c r="J649" s="3">
        <v>42715</v>
      </c>
      <c r="K649">
        <v>9.1</v>
      </c>
      <c r="L649">
        <v>47</v>
      </c>
      <c r="M649" s="4">
        <v>10000</v>
      </c>
      <c r="N649" s="4">
        <v>143597</v>
      </c>
      <c r="O649" t="s">
        <v>68</v>
      </c>
      <c r="P649" t="s">
        <v>68</v>
      </c>
      <c r="Q649">
        <v>3.45</v>
      </c>
      <c r="R649">
        <v>77</v>
      </c>
      <c r="S649">
        <v>31</v>
      </c>
      <c r="T649" t="s">
        <v>69</v>
      </c>
      <c r="U649">
        <v>12</v>
      </c>
      <c r="V649">
        <v>27</v>
      </c>
      <c r="W649" t="s">
        <v>70</v>
      </c>
      <c r="X649" t="s">
        <v>68</v>
      </c>
      <c r="Y649" t="s">
        <v>71</v>
      </c>
      <c r="Z649" t="s">
        <v>74</v>
      </c>
    </row>
    <row r="650" spans="1:26" x14ac:dyDescent="0.2">
      <c r="A650" t="s">
        <v>1347</v>
      </c>
      <c r="B650" t="s">
        <v>1348</v>
      </c>
      <c r="C650" t="s">
        <v>108</v>
      </c>
      <c r="D650" t="s">
        <v>109</v>
      </c>
      <c r="E650" t="s">
        <v>600</v>
      </c>
      <c r="F650" t="s">
        <v>120</v>
      </c>
      <c r="G650" t="s">
        <v>65</v>
      </c>
      <c r="H650" t="s">
        <v>66</v>
      </c>
      <c r="I650" t="s">
        <v>99</v>
      </c>
      <c r="J650" s="3">
        <v>42572</v>
      </c>
      <c r="K650">
        <v>9.5</v>
      </c>
      <c r="L650">
        <v>56</v>
      </c>
      <c r="M650" s="4">
        <v>9100</v>
      </c>
      <c r="N650" s="4">
        <v>134677</v>
      </c>
      <c r="O650" t="s">
        <v>68</v>
      </c>
      <c r="P650" t="s">
        <v>69</v>
      </c>
      <c r="Q650">
        <v>2.96</v>
      </c>
      <c r="R650">
        <v>82</v>
      </c>
      <c r="S650">
        <v>13</v>
      </c>
      <c r="T650" t="s">
        <v>69</v>
      </c>
      <c r="U650">
        <v>7</v>
      </c>
      <c r="V650">
        <v>37</v>
      </c>
      <c r="W650" t="s">
        <v>70</v>
      </c>
      <c r="X650" t="s">
        <v>68</v>
      </c>
      <c r="Y650" t="s">
        <v>71</v>
      </c>
      <c r="Z650" t="s">
        <v>108</v>
      </c>
    </row>
    <row r="651" spans="1:26" x14ac:dyDescent="0.2">
      <c r="A651" t="s">
        <v>1349</v>
      </c>
      <c r="B651" t="s">
        <v>1032</v>
      </c>
      <c r="C651" t="s">
        <v>61</v>
      </c>
      <c r="D651" t="s">
        <v>62</v>
      </c>
      <c r="E651" t="s">
        <v>702</v>
      </c>
      <c r="F651" t="s">
        <v>120</v>
      </c>
      <c r="G651" t="s">
        <v>65</v>
      </c>
      <c r="H651" t="s">
        <v>78</v>
      </c>
      <c r="I651" t="s">
        <v>121</v>
      </c>
      <c r="J651" s="3">
        <v>43200</v>
      </c>
      <c r="K651">
        <v>7.7</v>
      </c>
      <c r="L651">
        <v>39</v>
      </c>
      <c r="M651" s="4">
        <v>7500</v>
      </c>
      <c r="N651" s="4">
        <v>111652</v>
      </c>
      <c r="O651" t="s">
        <v>68</v>
      </c>
      <c r="P651" t="s">
        <v>68</v>
      </c>
      <c r="Q651">
        <v>3.19</v>
      </c>
      <c r="R651">
        <v>59</v>
      </c>
      <c r="S651">
        <v>30</v>
      </c>
      <c r="T651" t="s">
        <v>69</v>
      </c>
      <c r="U651">
        <v>4</v>
      </c>
      <c r="V651">
        <v>5</v>
      </c>
      <c r="W651" t="s">
        <v>70</v>
      </c>
      <c r="X651" t="s">
        <v>68</v>
      </c>
      <c r="Y651" t="s">
        <v>71</v>
      </c>
      <c r="Z651" t="s">
        <v>61</v>
      </c>
    </row>
    <row r="652" spans="1:26" x14ac:dyDescent="0.2">
      <c r="A652" t="s">
        <v>1350</v>
      </c>
      <c r="B652" t="s">
        <v>666</v>
      </c>
      <c r="C652" t="s">
        <v>133</v>
      </c>
      <c r="D652" t="s">
        <v>287</v>
      </c>
      <c r="E652" t="s">
        <v>288</v>
      </c>
      <c r="F652" t="s">
        <v>64</v>
      </c>
      <c r="G652" t="s">
        <v>65</v>
      </c>
      <c r="H652" t="s">
        <v>66</v>
      </c>
      <c r="I652" t="s">
        <v>67</v>
      </c>
      <c r="J652" s="3">
        <v>42587</v>
      </c>
      <c r="K652">
        <v>9.4</v>
      </c>
      <c r="L652">
        <v>40</v>
      </c>
      <c r="M652" s="4">
        <v>5300</v>
      </c>
      <c r="N652" s="4">
        <v>85931</v>
      </c>
      <c r="O652" t="s">
        <v>68</v>
      </c>
      <c r="P652" t="s">
        <v>68</v>
      </c>
      <c r="Q652">
        <v>3.47</v>
      </c>
      <c r="R652">
        <v>79</v>
      </c>
      <c r="S652">
        <v>21</v>
      </c>
      <c r="T652" t="s">
        <v>69</v>
      </c>
      <c r="U652">
        <v>8</v>
      </c>
      <c r="V652">
        <v>0</v>
      </c>
      <c r="W652" t="s">
        <v>70</v>
      </c>
      <c r="X652" t="s">
        <v>68</v>
      </c>
      <c r="Y652" t="s">
        <v>71</v>
      </c>
      <c r="Z652" t="s">
        <v>133</v>
      </c>
    </row>
    <row r="653" spans="1:26" x14ac:dyDescent="0.2">
      <c r="A653" t="s">
        <v>1351</v>
      </c>
      <c r="B653" t="s">
        <v>716</v>
      </c>
      <c r="C653" t="s">
        <v>96</v>
      </c>
      <c r="D653" t="s">
        <v>234</v>
      </c>
      <c r="E653" t="s">
        <v>405</v>
      </c>
      <c r="F653" t="s">
        <v>136</v>
      </c>
      <c r="G653" t="s">
        <v>65</v>
      </c>
      <c r="H653" t="s">
        <v>78</v>
      </c>
      <c r="I653" t="s">
        <v>148</v>
      </c>
      <c r="J653" s="3">
        <v>45120</v>
      </c>
      <c r="K653">
        <v>2.5</v>
      </c>
      <c r="L653">
        <v>59</v>
      </c>
      <c r="M653" s="4">
        <v>13900</v>
      </c>
      <c r="N653" s="4">
        <v>203860</v>
      </c>
      <c r="O653" t="s">
        <v>68</v>
      </c>
      <c r="P653" t="s">
        <v>69</v>
      </c>
      <c r="Q653">
        <v>3.15</v>
      </c>
      <c r="R653">
        <v>67</v>
      </c>
      <c r="S653">
        <v>0</v>
      </c>
      <c r="T653" t="s">
        <v>69</v>
      </c>
      <c r="U653">
        <v>3</v>
      </c>
      <c r="V653">
        <v>6</v>
      </c>
      <c r="W653" t="s">
        <v>70</v>
      </c>
      <c r="X653" t="s">
        <v>68</v>
      </c>
      <c r="Y653" t="s">
        <v>71</v>
      </c>
      <c r="Z653" t="s">
        <v>96</v>
      </c>
    </row>
    <row r="654" spans="1:26" x14ac:dyDescent="0.2">
      <c r="A654" t="s">
        <v>1352</v>
      </c>
      <c r="B654" t="s">
        <v>1353</v>
      </c>
      <c r="C654" t="s">
        <v>74</v>
      </c>
      <c r="D654" t="s">
        <v>313</v>
      </c>
      <c r="E654" t="s">
        <v>427</v>
      </c>
      <c r="F654" t="s">
        <v>77</v>
      </c>
      <c r="G654" t="s">
        <v>65</v>
      </c>
      <c r="H654" t="s">
        <v>78</v>
      </c>
      <c r="I654" t="s">
        <v>99</v>
      </c>
      <c r="J654" s="3">
        <v>41960</v>
      </c>
      <c r="K654">
        <v>11.1</v>
      </c>
      <c r="L654">
        <v>34</v>
      </c>
      <c r="M654" s="4">
        <v>12500</v>
      </c>
      <c r="N654" s="4">
        <v>185025</v>
      </c>
      <c r="O654" t="s">
        <v>68</v>
      </c>
      <c r="P654" t="s">
        <v>68</v>
      </c>
      <c r="Q654">
        <v>3.07</v>
      </c>
      <c r="R654">
        <v>78</v>
      </c>
      <c r="S654">
        <v>14</v>
      </c>
      <c r="T654" t="s">
        <v>69</v>
      </c>
      <c r="U654">
        <v>5</v>
      </c>
      <c r="V654">
        <v>28</v>
      </c>
      <c r="W654" t="s">
        <v>70</v>
      </c>
      <c r="X654" t="s">
        <v>68</v>
      </c>
      <c r="Y654" t="s">
        <v>71</v>
      </c>
      <c r="Z654" t="s">
        <v>74</v>
      </c>
    </row>
    <row r="655" spans="1:26" x14ac:dyDescent="0.2">
      <c r="A655" t="s">
        <v>1354</v>
      </c>
      <c r="B655" t="s">
        <v>584</v>
      </c>
      <c r="C655" t="s">
        <v>96</v>
      </c>
      <c r="D655" t="s">
        <v>234</v>
      </c>
      <c r="E655" t="s">
        <v>235</v>
      </c>
      <c r="F655" t="s">
        <v>77</v>
      </c>
      <c r="G655" t="s">
        <v>65</v>
      </c>
      <c r="H655" t="s">
        <v>78</v>
      </c>
      <c r="I655" t="s">
        <v>554</v>
      </c>
      <c r="J655" s="3">
        <v>44921</v>
      </c>
      <c r="K655">
        <v>3</v>
      </c>
      <c r="L655">
        <v>26</v>
      </c>
      <c r="M655" s="4">
        <v>10200</v>
      </c>
      <c r="N655" s="4">
        <v>146994</v>
      </c>
      <c r="O655" t="s">
        <v>68</v>
      </c>
      <c r="P655" t="s">
        <v>69</v>
      </c>
      <c r="Q655">
        <v>3.4</v>
      </c>
      <c r="R655">
        <v>81</v>
      </c>
      <c r="S655">
        <v>32</v>
      </c>
      <c r="T655" t="s">
        <v>69</v>
      </c>
      <c r="U655">
        <v>6</v>
      </c>
      <c r="V655">
        <v>8</v>
      </c>
      <c r="W655" t="s">
        <v>70</v>
      </c>
      <c r="X655" t="s">
        <v>68</v>
      </c>
      <c r="Y655" t="s">
        <v>71</v>
      </c>
      <c r="Z655" t="s">
        <v>96</v>
      </c>
    </row>
    <row r="656" spans="1:26" x14ac:dyDescent="0.2">
      <c r="A656" t="s">
        <v>1355</v>
      </c>
      <c r="B656" t="s">
        <v>1356</v>
      </c>
      <c r="C656" t="s">
        <v>61</v>
      </c>
      <c r="D656" t="s">
        <v>177</v>
      </c>
      <c r="E656" t="s">
        <v>639</v>
      </c>
      <c r="F656" t="s">
        <v>120</v>
      </c>
      <c r="G656" t="s">
        <v>65</v>
      </c>
      <c r="H656" t="s">
        <v>66</v>
      </c>
      <c r="I656" t="s">
        <v>67</v>
      </c>
      <c r="J656" s="3">
        <v>45545</v>
      </c>
      <c r="K656">
        <v>1.3</v>
      </c>
      <c r="L656">
        <v>24</v>
      </c>
      <c r="M656" s="4">
        <v>9200</v>
      </c>
      <c r="N656" s="4">
        <v>133645</v>
      </c>
      <c r="O656" t="s">
        <v>68</v>
      </c>
      <c r="P656" t="s">
        <v>68</v>
      </c>
      <c r="Q656">
        <v>3.38</v>
      </c>
      <c r="R656">
        <v>85</v>
      </c>
      <c r="S656">
        <v>7</v>
      </c>
      <c r="T656" t="s">
        <v>69</v>
      </c>
      <c r="U656">
        <v>6</v>
      </c>
      <c r="V656">
        <v>0</v>
      </c>
      <c r="W656" t="s">
        <v>70</v>
      </c>
      <c r="X656" t="s">
        <v>68</v>
      </c>
      <c r="Y656" t="s">
        <v>71</v>
      </c>
      <c r="Z656" t="s">
        <v>61</v>
      </c>
    </row>
    <row r="657" spans="1:26" x14ac:dyDescent="0.2">
      <c r="A657" t="s">
        <v>1357</v>
      </c>
      <c r="B657" t="s">
        <v>764</v>
      </c>
      <c r="C657" t="s">
        <v>89</v>
      </c>
      <c r="D657" t="s">
        <v>239</v>
      </c>
      <c r="E657" t="s">
        <v>384</v>
      </c>
      <c r="F657" t="s">
        <v>136</v>
      </c>
      <c r="G657" t="s">
        <v>65</v>
      </c>
      <c r="H657" t="s">
        <v>78</v>
      </c>
      <c r="I657" t="s">
        <v>148</v>
      </c>
      <c r="J657" s="3">
        <v>42450</v>
      </c>
      <c r="K657">
        <v>9.8000000000000007</v>
      </c>
      <c r="L657">
        <v>58</v>
      </c>
      <c r="M657" s="4">
        <v>16800</v>
      </c>
      <c r="N657" s="4">
        <v>255620</v>
      </c>
      <c r="O657" t="s">
        <v>68</v>
      </c>
      <c r="P657" t="s">
        <v>69</v>
      </c>
      <c r="Q657">
        <v>2.59</v>
      </c>
      <c r="R657">
        <v>64</v>
      </c>
      <c r="S657">
        <v>7</v>
      </c>
      <c r="T657" t="s">
        <v>68</v>
      </c>
      <c r="U657">
        <v>0</v>
      </c>
      <c r="V657">
        <v>26</v>
      </c>
      <c r="W657" t="s">
        <v>70</v>
      </c>
      <c r="X657" t="s">
        <v>68</v>
      </c>
      <c r="Y657" t="s">
        <v>71</v>
      </c>
      <c r="Z657" t="s">
        <v>89</v>
      </c>
    </row>
    <row r="658" spans="1:26" x14ac:dyDescent="0.2">
      <c r="A658" t="s">
        <v>1358</v>
      </c>
      <c r="B658" t="s">
        <v>1181</v>
      </c>
      <c r="C658" t="s">
        <v>61</v>
      </c>
      <c r="D658" t="s">
        <v>62</v>
      </c>
      <c r="E658" t="s">
        <v>702</v>
      </c>
      <c r="F658" t="s">
        <v>120</v>
      </c>
      <c r="G658" t="s">
        <v>65</v>
      </c>
      <c r="H658" t="s">
        <v>66</v>
      </c>
      <c r="I658" t="s">
        <v>79</v>
      </c>
      <c r="J658" s="3">
        <v>43731</v>
      </c>
      <c r="K658">
        <v>6.3</v>
      </c>
      <c r="L658">
        <v>34</v>
      </c>
      <c r="M658" s="4">
        <v>8400</v>
      </c>
      <c r="N658" s="4">
        <v>127851</v>
      </c>
      <c r="O658" t="s">
        <v>68</v>
      </c>
      <c r="P658" t="s">
        <v>68</v>
      </c>
      <c r="Q658">
        <v>3.25</v>
      </c>
      <c r="R658">
        <v>62</v>
      </c>
      <c r="S658">
        <v>19</v>
      </c>
      <c r="T658" t="s">
        <v>69</v>
      </c>
      <c r="U658">
        <v>13</v>
      </c>
      <c r="V658">
        <v>0</v>
      </c>
      <c r="W658" t="s">
        <v>70</v>
      </c>
      <c r="X658" t="s">
        <v>68</v>
      </c>
      <c r="Y658" t="s">
        <v>71</v>
      </c>
      <c r="Z658" t="s">
        <v>61</v>
      </c>
    </row>
    <row r="659" spans="1:26" x14ac:dyDescent="0.2">
      <c r="A659" t="s">
        <v>1359</v>
      </c>
      <c r="B659" t="s">
        <v>73</v>
      </c>
      <c r="C659" t="s">
        <v>108</v>
      </c>
      <c r="D659" t="s">
        <v>222</v>
      </c>
      <c r="E659" t="s">
        <v>378</v>
      </c>
      <c r="F659" t="s">
        <v>77</v>
      </c>
      <c r="G659" t="s">
        <v>65</v>
      </c>
      <c r="H659" t="s">
        <v>78</v>
      </c>
      <c r="I659" t="s">
        <v>99</v>
      </c>
      <c r="J659" s="3">
        <v>43593</v>
      </c>
      <c r="K659">
        <v>6.7</v>
      </c>
      <c r="L659">
        <v>37</v>
      </c>
      <c r="M659" s="4">
        <v>11400</v>
      </c>
      <c r="N659" s="4">
        <v>178220</v>
      </c>
      <c r="O659" t="s">
        <v>68</v>
      </c>
      <c r="P659" t="s">
        <v>69</v>
      </c>
      <c r="Q659">
        <v>3.01</v>
      </c>
      <c r="R659">
        <v>68</v>
      </c>
      <c r="S659">
        <v>50</v>
      </c>
      <c r="T659" t="s">
        <v>69</v>
      </c>
      <c r="U659">
        <v>5</v>
      </c>
      <c r="V659">
        <v>27</v>
      </c>
      <c r="W659" t="s">
        <v>70</v>
      </c>
      <c r="X659" t="s">
        <v>68</v>
      </c>
      <c r="Y659" t="s">
        <v>71</v>
      </c>
      <c r="Z659" t="s">
        <v>108</v>
      </c>
    </row>
    <row r="660" spans="1:26" x14ac:dyDescent="0.2">
      <c r="A660" t="s">
        <v>1360</v>
      </c>
      <c r="B660" t="s">
        <v>561</v>
      </c>
      <c r="C660" t="s">
        <v>96</v>
      </c>
      <c r="D660" t="s">
        <v>97</v>
      </c>
      <c r="E660" t="s">
        <v>386</v>
      </c>
      <c r="F660" t="s">
        <v>120</v>
      </c>
      <c r="G660" t="s">
        <v>65</v>
      </c>
      <c r="H660" t="s">
        <v>66</v>
      </c>
      <c r="I660" t="s">
        <v>79</v>
      </c>
      <c r="J660" s="3">
        <v>43495</v>
      </c>
      <c r="K660">
        <v>6.9</v>
      </c>
      <c r="L660">
        <v>57</v>
      </c>
      <c r="M660" s="4">
        <v>8600</v>
      </c>
      <c r="N660" s="4">
        <v>128755</v>
      </c>
      <c r="O660" t="s">
        <v>68</v>
      </c>
      <c r="P660" t="s">
        <v>69</v>
      </c>
      <c r="Q660">
        <v>3.09</v>
      </c>
      <c r="R660">
        <v>62</v>
      </c>
      <c r="S660">
        <v>38</v>
      </c>
      <c r="T660" t="s">
        <v>69</v>
      </c>
      <c r="U660">
        <v>8</v>
      </c>
      <c r="V660">
        <v>0</v>
      </c>
      <c r="W660" t="s">
        <v>70</v>
      </c>
      <c r="X660" t="s">
        <v>68</v>
      </c>
      <c r="Y660" t="s">
        <v>71</v>
      </c>
      <c r="Z660" t="s">
        <v>96</v>
      </c>
    </row>
    <row r="661" spans="1:26" x14ac:dyDescent="0.2">
      <c r="A661" t="s">
        <v>1361</v>
      </c>
      <c r="B661" t="s">
        <v>940</v>
      </c>
      <c r="C661" t="s">
        <v>74</v>
      </c>
      <c r="D661" t="s">
        <v>313</v>
      </c>
      <c r="E661" t="s">
        <v>1165</v>
      </c>
      <c r="F661" t="s">
        <v>64</v>
      </c>
      <c r="G661" t="s">
        <v>65</v>
      </c>
      <c r="H661" t="s">
        <v>78</v>
      </c>
      <c r="I661" t="s">
        <v>148</v>
      </c>
      <c r="J661" s="3">
        <v>43457</v>
      </c>
      <c r="K661">
        <v>7</v>
      </c>
      <c r="L661">
        <v>58</v>
      </c>
      <c r="M661" s="4">
        <v>5000</v>
      </c>
      <c r="N661" s="4">
        <v>78272</v>
      </c>
      <c r="O661" t="s">
        <v>68</v>
      </c>
      <c r="P661" t="s">
        <v>69</v>
      </c>
      <c r="Q661">
        <v>3.11</v>
      </c>
      <c r="R661">
        <v>59</v>
      </c>
      <c r="S661">
        <v>46</v>
      </c>
      <c r="T661" t="s">
        <v>69</v>
      </c>
      <c r="U661">
        <v>0</v>
      </c>
      <c r="V661">
        <v>34</v>
      </c>
      <c r="W661" t="s">
        <v>70</v>
      </c>
      <c r="X661" t="s">
        <v>68</v>
      </c>
      <c r="Y661" t="s">
        <v>86</v>
      </c>
      <c r="Z661" t="s">
        <v>74</v>
      </c>
    </row>
    <row r="662" spans="1:26" x14ac:dyDescent="0.2">
      <c r="A662" t="s">
        <v>1362</v>
      </c>
      <c r="B662" t="s">
        <v>574</v>
      </c>
      <c r="C662" t="s">
        <v>74</v>
      </c>
      <c r="D662" t="s">
        <v>75</v>
      </c>
      <c r="E662" t="s">
        <v>410</v>
      </c>
      <c r="F662" t="s">
        <v>92</v>
      </c>
      <c r="G662" t="s">
        <v>85</v>
      </c>
      <c r="H662" t="s">
        <v>78</v>
      </c>
      <c r="I662" t="s">
        <v>148</v>
      </c>
      <c r="J662" s="3">
        <v>45076</v>
      </c>
      <c r="K662">
        <v>2.6</v>
      </c>
      <c r="L662">
        <v>24</v>
      </c>
      <c r="M662" s="4">
        <v>5000</v>
      </c>
      <c r="N662" s="4">
        <v>82188</v>
      </c>
      <c r="O662" t="s">
        <v>68</v>
      </c>
      <c r="P662" t="s">
        <v>68</v>
      </c>
      <c r="Q662">
        <v>2.37</v>
      </c>
      <c r="R662">
        <v>69</v>
      </c>
      <c r="S662">
        <v>33</v>
      </c>
      <c r="T662" t="s">
        <v>69</v>
      </c>
      <c r="U662">
        <v>0</v>
      </c>
      <c r="V662">
        <v>32</v>
      </c>
      <c r="W662" t="s">
        <v>70</v>
      </c>
      <c r="X662" t="s">
        <v>68</v>
      </c>
      <c r="Y662" t="s">
        <v>71</v>
      </c>
      <c r="Z662" t="s">
        <v>74</v>
      </c>
    </row>
    <row r="663" spans="1:26" x14ac:dyDescent="0.2">
      <c r="A663" t="s">
        <v>1363</v>
      </c>
      <c r="B663" t="s">
        <v>779</v>
      </c>
      <c r="C663" t="s">
        <v>124</v>
      </c>
      <c r="D663" t="s">
        <v>125</v>
      </c>
      <c r="E663" t="s">
        <v>126</v>
      </c>
      <c r="F663" t="s">
        <v>64</v>
      </c>
      <c r="G663" t="s">
        <v>65</v>
      </c>
      <c r="H663" t="s">
        <v>66</v>
      </c>
      <c r="I663" t="s">
        <v>67</v>
      </c>
      <c r="J663" s="3">
        <v>43709</v>
      </c>
      <c r="K663">
        <v>6.3</v>
      </c>
      <c r="L663">
        <v>54</v>
      </c>
      <c r="M663" s="4">
        <v>6700</v>
      </c>
      <c r="N663" s="4">
        <v>97085</v>
      </c>
      <c r="O663" t="s">
        <v>69</v>
      </c>
      <c r="P663" t="s">
        <v>68</v>
      </c>
      <c r="Q663">
        <v>3.01</v>
      </c>
      <c r="R663">
        <v>59</v>
      </c>
      <c r="S663">
        <v>49</v>
      </c>
      <c r="T663" t="s">
        <v>69</v>
      </c>
      <c r="U663">
        <v>1</v>
      </c>
      <c r="V663">
        <v>5</v>
      </c>
      <c r="W663" t="s">
        <v>68</v>
      </c>
      <c r="X663" t="s">
        <v>68</v>
      </c>
      <c r="Y663" t="s">
        <v>71</v>
      </c>
      <c r="Z663" t="s">
        <v>124</v>
      </c>
    </row>
    <row r="664" spans="1:26" x14ac:dyDescent="0.2">
      <c r="A664" t="s">
        <v>1364</v>
      </c>
      <c r="B664" t="s">
        <v>855</v>
      </c>
      <c r="C664" t="s">
        <v>133</v>
      </c>
      <c r="D664" t="s">
        <v>287</v>
      </c>
      <c r="E664" t="s">
        <v>1173</v>
      </c>
      <c r="F664" t="s">
        <v>77</v>
      </c>
      <c r="G664" t="s">
        <v>65</v>
      </c>
      <c r="H664" t="s">
        <v>78</v>
      </c>
      <c r="I664" t="s">
        <v>99</v>
      </c>
      <c r="J664" s="3">
        <v>42728</v>
      </c>
      <c r="K664">
        <v>9</v>
      </c>
      <c r="L664">
        <v>26</v>
      </c>
      <c r="M664" s="4">
        <v>9900</v>
      </c>
      <c r="N664" s="4">
        <v>153061</v>
      </c>
      <c r="O664" t="s">
        <v>68</v>
      </c>
      <c r="P664" t="s">
        <v>68</v>
      </c>
      <c r="Q664">
        <v>3.04</v>
      </c>
      <c r="R664">
        <v>56</v>
      </c>
      <c r="S664">
        <v>25</v>
      </c>
      <c r="T664" t="s">
        <v>69</v>
      </c>
      <c r="U664">
        <v>5</v>
      </c>
      <c r="V664">
        <v>0</v>
      </c>
      <c r="W664" t="s">
        <v>70</v>
      </c>
      <c r="X664" t="s">
        <v>68</v>
      </c>
      <c r="Y664" t="s">
        <v>71</v>
      </c>
      <c r="Z664" t="s">
        <v>133</v>
      </c>
    </row>
    <row r="665" spans="1:26" x14ac:dyDescent="0.2">
      <c r="A665" t="s">
        <v>1365</v>
      </c>
      <c r="B665" t="s">
        <v>853</v>
      </c>
      <c r="C665" t="s">
        <v>102</v>
      </c>
      <c r="D665" t="s">
        <v>183</v>
      </c>
      <c r="E665" t="s">
        <v>1020</v>
      </c>
      <c r="F665" t="s">
        <v>64</v>
      </c>
      <c r="G665" t="s">
        <v>65</v>
      </c>
      <c r="H665" t="s">
        <v>66</v>
      </c>
      <c r="I665" t="s">
        <v>99</v>
      </c>
      <c r="J665" s="3">
        <v>45655</v>
      </c>
      <c r="K665">
        <v>1</v>
      </c>
      <c r="L665">
        <v>28</v>
      </c>
      <c r="M665" s="4">
        <v>6800</v>
      </c>
      <c r="N665" s="4">
        <v>96676</v>
      </c>
      <c r="O665" t="s">
        <v>68</v>
      </c>
      <c r="P665" t="s">
        <v>69</v>
      </c>
      <c r="Q665">
        <v>3.35</v>
      </c>
      <c r="R665">
        <v>69</v>
      </c>
      <c r="S665">
        <v>2</v>
      </c>
      <c r="T665" t="s">
        <v>69</v>
      </c>
      <c r="U665">
        <v>10</v>
      </c>
      <c r="V665">
        <v>31</v>
      </c>
      <c r="W665" t="s">
        <v>70</v>
      </c>
      <c r="X665" t="s">
        <v>68</v>
      </c>
      <c r="Y665" t="s">
        <v>71</v>
      </c>
      <c r="Z665" t="s">
        <v>102</v>
      </c>
    </row>
    <row r="666" spans="1:26" x14ac:dyDescent="0.2">
      <c r="A666" t="s">
        <v>1366</v>
      </c>
      <c r="B666" t="s">
        <v>1125</v>
      </c>
      <c r="C666" t="s">
        <v>74</v>
      </c>
      <c r="D666" t="s">
        <v>313</v>
      </c>
      <c r="E666" t="s">
        <v>358</v>
      </c>
      <c r="F666" t="s">
        <v>120</v>
      </c>
      <c r="G666" t="s">
        <v>65</v>
      </c>
      <c r="H666" t="s">
        <v>66</v>
      </c>
      <c r="I666" t="s">
        <v>67</v>
      </c>
      <c r="J666" s="3">
        <v>43342</v>
      </c>
      <c r="K666">
        <v>7.3</v>
      </c>
      <c r="L666">
        <v>31</v>
      </c>
      <c r="M666" s="4">
        <v>7800</v>
      </c>
      <c r="N666" s="4">
        <v>118553</v>
      </c>
      <c r="O666" t="s">
        <v>68</v>
      </c>
      <c r="P666" t="s">
        <v>68</v>
      </c>
      <c r="Q666">
        <v>3.02</v>
      </c>
      <c r="R666">
        <v>62</v>
      </c>
      <c r="S666">
        <v>43</v>
      </c>
      <c r="T666" t="s">
        <v>69</v>
      </c>
      <c r="U666">
        <v>13</v>
      </c>
      <c r="V666">
        <v>26</v>
      </c>
      <c r="W666" t="s">
        <v>70</v>
      </c>
      <c r="X666" t="s">
        <v>68</v>
      </c>
      <c r="Y666" t="s">
        <v>71</v>
      </c>
      <c r="Z666" t="s">
        <v>74</v>
      </c>
    </row>
    <row r="667" spans="1:26" x14ac:dyDescent="0.2">
      <c r="A667" t="s">
        <v>1367</v>
      </c>
      <c r="B667" t="s">
        <v>1048</v>
      </c>
      <c r="C667" t="s">
        <v>102</v>
      </c>
      <c r="D667" t="s">
        <v>166</v>
      </c>
      <c r="E667" t="s">
        <v>167</v>
      </c>
      <c r="F667" t="s">
        <v>136</v>
      </c>
      <c r="G667" t="s">
        <v>65</v>
      </c>
      <c r="H667" t="s">
        <v>66</v>
      </c>
      <c r="I667" t="s">
        <v>67</v>
      </c>
      <c r="J667" s="3">
        <v>44246</v>
      </c>
      <c r="K667">
        <v>4.9000000000000004</v>
      </c>
      <c r="L667">
        <v>48</v>
      </c>
      <c r="M667" s="4">
        <v>16700</v>
      </c>
      <c r="N667" s="4">
        <v>255293</v>
      </c>
      <c r="O667" t="s">
        <v>68</v>
      </c>
      <c r="P667" t="s">
        <v>69</v>
      </c>
      <c r="Q667">
        <v>2.99</v>
      </c>
      <c r="R667">
        <v>64</v>
      </c>
      <c r="S667">
        <v>26</v>
      </c>
      <c r="T667" t="s">
        <v>69</v>
      </c>
      <c r="U667">
        <v>0</v>
      </c>
      <c r="V667">
        <v>0</v>
      </c>
      <c r="W667" t="s">
        <v>70</v>
      </c>
      <c r="X667" t="s">
        <v>68</v>
      </c>
      <c r="Y667" t="s">
        <v>71</v>
      </c>
      <c r="Z667" t="s">
        <v>102</v>
      </c>
    </row>
    <row r="668" spans="1:26" x14ac:dyDescent="0.2">
      <c r="A668" t="s">
        <v>1368</v>
      </c>
      <c r="B668" t="s">
        <v>1369</v>
      </c>
      <c r="C668" t="s">
        <v>89</v>
      </c>
      <c r="D668" t="s">
        <v>154</v>
      </c>
      <c r="E668" t="s">
        <v>454</v>
      </c>
      <c r="F668" t="s">
        <v>92</v>
      </c>
      <c r="G668" t="s">
        <v>65</v>
      </c>
      <c r="H668" t="s">
        <v>78</v>
      </c>
      <c r="I668" t="s">
        <v>99</v>
      </c>
      <c r="J668" s="3">
        <v>42050</v>
      </c>
      <c r="K668">
        <v>10.9</v>
      </c>
      <c r="L668">
        <v>47</v>
      </c>
      <c r="M668" s="4">
        <v>5300</v>
      </c>
      <c r="N668" s="4">
        <v>86972</v>
      </c>
      <c r="O668" t="s">
        <v>68</v>
      </c>
      <c r="P668" t="s">
        <v>69</v>
      </c>
      <c r="Q668">
        <v>3.06</v>
      </c>
      <c r="R668">
        <v>66</v>
      </c>
      <c r="S668">
        <v>16</v>
      </c>
      <c r="T668" t="s">
        <v>69</v>
      </c>
      <c r="U668">
        <v>2</v>
      </c>
      <c r="V668">
        <v>4</v>
      </c>
      <c r="W668" t="s">
        <v>70</v>
      </c>
      <c r="X668" t="s">
        <v>68</v>
      </c>
      <c r="Y668" t="s">
        <v>71</v>
      </c>
      <c r="Z668" t="s">
        <v>89</v>
      </c>
    </row>
    <row r="669" spans="1:26" x14ac:dyDescent="0.2">
      <c r="A669" t="s">
        <v>1370</v>
      </c>
      <c r="B669" t="s">
        <v>449</v>
      </c>
      <c r="C669" t="s">
        <v>74</v>
      </c>
      <c r="D669" t="s">
        <v>139</v>
      </c>
      <c r="E669" t="s">
        <v>197</v>
      </c>
      <c r="F669" t="s">
        <v>120</v>
      </c>
      <c r="G669" t="s">
        <v>215</v>
      </c>
      <c r="H669" t="s">
        <v>66</v>
      </c>
      <c r="I669" t="s">
        <v>111</v>
      </c>
      <c r="J669" s="3">
        <v>42287</v>
      </c>
      <c r="K669">
        <v>10.199999999999999</v>
      </c>
      <c r="L669">
        <v>34</v>
      </c>
      <c r="M669" s="4">
        <v>11000</v>
      </c>
      <c r="N669" s="4">
        <v>171328</v>
      </c>
      <c r="O669" t="s">
        <v>68</v>
      </c>
      <c r="P669" t="s">
        <v>68</v>
      </c>
      <c r="Q669">
        <v>3.39</v>
      </c>
      <c r="R669">
        <v>65</v>
      </c>
      <c r="S669">
        <v>48</v>
      </c>
      <c r="T669" t="s">
        <v>69</v>
      </c>
      <c r="U669">
        <v>2</v>
      </c>
      <c r="V669">
        <v>35</v>
      </c>
      <c r="W669" t="s">
        <v>70</v>
      </c>
      <c r="X669" t="s">
        <v>68</v>
      </c>
      <c r="Y669" t="s">
        <v>71</v>
      </c>
      <c r="Z669" t="s">
        <v>74</v>
      </c>
    </row>
    <row r="670" spans="1:26" x14ac:dyDescent="0.2">
      <c r="A670" t="s">
        <v>1371</v>
      </c>
      <c r="B670" t="s">
        <v>347</v>
      </c>
      <c r="C670" t="s">
        <v>102</v>
      </c>
      <c r="D670" t="s">
        <v>339</v>
      </c>
      <c r="E670" t="s">
        <v>469</v>
      </c>
      <c r="F670" t="s">
        <v>120</v>
      </c>
      <c r="G670" t="s">
        <v>65</v>
      </c>
      <c r="H670" t="s">
        <v>78</v>
      </c>
      <c r="I670" t="s">
        <v>93</v>
      </c>
      <c r="J670" s="3">
        <v>44858</v>
      </c>
      <c r="K670">
        <v>3.2</v>
      </c>
      <c r="L670">
        <v>53</v>
      </c>
      <c r="M670" s="4">
        <v>9700</v>
      </c>
      <c r="N670" s="4">
        <v>155645</v>
      </c>
      <c r="O670" t="s">
        <v>68</v>
      </c>
      <c r="P670" t="s">
        <v>69</v>
      </c>
      <c r="Q670">
        <v>2.46</v>
      </c>
      <c r="R670">
        <v>47</v>
      </c>
      <c r="S670">
        <v>12</v>
      </c>
      <c r="T670" t="s">
        <v>69</v>
      </c>
      <c r="U670">
        <v>3</v>
      </c>
      <c r="V670">
        <v>62</v>
      </c>
      <c r="W670" t="s">
        <v>70</v>
      </c>
      <c r="X670" t="s">
        <v>68</v>
      </c>
      <c r="Y670" t="s">
        <v>86</v>
      </c>
      <c r="Z670" t="s">
        <v>102</v>
      </c>
    </row>
    <row r="671" spans="1:26" x14ac:dyDescent="0.2">
      <c r="A671" t="s">
        <v>1372</v>
      </c>
      <c r="B671" t="s">
        <v>347</v>
      </c>
      <c r="C671" t="s">
        <v>133</v>
      </c>
      <c r="D671" t="s">
        <v>15</v>
      </c>
      <c r="E671" t="s">
        <v>1373</v>
      </c>
      <c r="F671" t="s">
        <v>64</v>
      </c>
      <c r="G671" t="s">
        <v>215</v>
      </c>
      <c r="H671" t="s">
        <v>66</v>
      </c>
      <c r="I671" t="s">
        <v>111</v>
      </c>
      <c r="J671" s="3">
        <v>41733</v>
      </c>
      <c r="K671">
        <v>11.8</v>
      </c>
      <c r="L671">
        <v>29</v>
      </c>
      <c r="M671" s="4">
        <v>7700</v>
      </c>
      <c r="N671" s="4">
        <v>120269</v>
      </c>
      <c r="O671" t="s">
        <v>68</v>
      </c>
      <c r="P671" t="s">
        <v>68</v>
      </c>
      <c r="Q671">
        <v>3.25</v>
      </c>
      <c r="R671">
        <v>71</v>
      </c>
      <c r="S671">
        <v>3</v>
      </c>
      <c r="T671" t="s">
        <v>69</v>
      </c>
      <c r="U671">
        <v>3</v>
      </c>
      <c r="V671">
        <v>0</v>
      </c>
      <c r="W671" t="s">
        <v>70</v>
      </c>
      <c r="X671" t="s">
        <v>68</v>
      </c>
      <c r="Y671" t="s">
        <v>71</v>
      </c>
      <c r="Z671" t="s">
        <v>133</v>
      </c>
    </row>
    <row r="672" spans="1:26" x14ac:dyDescent="0.2">
      <c r="A672" t="s">
        <v>1374</v>
      </c>
      <c r="B672" t="s">
        <v>1375</v>
      </c>
      <c r="C672" t="s">
        <v>96</v>
      </c>
      <c r="D672" t="s">
        <v>97</v>
      </c>
      <c r="E672" t="s">
        <v>284</v>
      </c>
      <c r="F672" t="s">
        <v>136</v>
      </c>
      <c r="G672" t="s">
        <v>215</v>
      </c>
      <c r="H672" t="s">
        <v>78</v>
      </c>
      <c r="I672" t="s">
        <v>111</v>
      </c>
      <c r="J672" s="3">
        <v>45201</v>
      </c>
      <c r="K672">
        <v>2.2999999999999998</v>
      </c>
      <c r="L672">
        <v>31</v>
      </c>
      <c r="M672" s="4">
        <v>11200</v>
      </c>
      <c r="N672" s="4">
        <v>179881</v>
      </c>
      <c r="O672" t="s">
        <v>68</v>
      </c>
      <c r="P672" t="s">
        <v>69</v>
      </c>
      <c r="Q672">
        <v>3.12</v>
      </c>
      <c r="R672">
        <v>54</v>
      </c>
      <c r="S672">
        <v>43</v>
      </c>
      <c r="T672" t="s">
        <v>69</v>
      </c>
      <c r="U672">
        <v>7</v>
      </c>
      <c r="V672">
        <v>0</v>
      </c>
      <c r="W672" t="s">
        <v>70</v>
      </c>
      <c r="X672" t="s">
        <v>68</v>
      </c>
      <c r="Y672" t="s">
        <v>71</v>
      </c>
      <c r="Z672" t="s">
        <v>96</v>
      </c>
    </row>
    <row r="673" spans="1:26" x14ac:dyDescent="0.2">
      <c r="A673" t="s">
        <v>1376</v>
      </c>
      <c r="B673" t="s">
        <v>515</v>
      </c>
      <c r="C673" t="s">
        <v>102</v>
      </c>
      <c r="D673" t="s">
        <v>103</v>
      </c>
      <c r="E673" t="s">
        <v>458</v>
      </c>
      <c r="F673" t="s">
        <v>77</v>
      </c>
      <c r="G673" t="s">
        <v>65</v>
      </c>
      <c r="H673" t="s">
        <v>66</v>
      </c>
      <c r="I673" t="s">
        <v>79</v>
      </c>
      <c r="J673" s="3">
        <v>45433</v>
      </c>
      <c r="K673">
        <v>1.6</v>
      </c>
      <c r="L673">
        <v>25</v>
      </c>
      <c r="M673" s="4">
        <v>10700</v>
      </c>
      <c r="N673" s="4">
        <v>177118</v>
      </c>
      <c r="O673" t="s">
        <v>69</v>
      </c>
      <c r="P673" t="s">
        <v>69</v>
      </c>
      <c r="Q673">
        <v>2.98</v>
      </c>
      <c r="R673">
        <v>54</v>
      </c>
      <c r="S673">
        <v>27</v>
      </c>
      <c r="T673" t="s">
        <v>69</v>
      </c>
      <c r="U673">
        <v>4</v>
      </c>
      <c r="V673">
        <v>69</v>
      </c>
      <c r="W673" t="s">
        <v>69</v>
      </c>
      <c r="X673" t="s">
        <v>68</v>
      </c>
      <c r="Y673" t="s">
        <v>86</v>
      </c>
      <c r="Z673" t="s">
        <v>102</v>
      </c>
    </row>
    <row r="674" spans="1:26" x14ac:dyDescent="0.2">
      <c r="A674" t="s">
        <v>1377</v>
      </c>
      <c r="B674" t="s">
        <v>569</v>
      </c>
      <c r="C674" t="s">
        <v>124</v>
      </c>
      <c r="D674" t="s">
        <v>125</v>
      </c>
      <c r="E674" t="s">
        <v>126</v>
      </c>
      <c r="F674" t="s">
        <v>64</v>
      </c>
      <c r="G674" t="s">
        <v>65</v>
      </c>
      <c r="H674" t="s">
        <v>66</v>
      </c>
      <c r="I674" t="s">
        <v>148</v>
      </c>
      <c r="J674" s="3">
        <v>43309</v>
      </c>
      <c r="K674">
        <v>7.4</v>
      </c>
      <c r="L674">
        <v>37</v>
      </c>
      <c r="M674" s="4">
        <v>6500</v>
      </c>
      <c r="N674" s="4">
        <v>101213</v>
      </c>
      <c r="O674" t="s">
        <v>68</v>
      </c>
      <c r="P674" t="s">
        <v>68</v>
      </c>
      <c r="Q674">
        <v>2.36</v>
      </c>
      <c r="R674">
        <v>55</v>
      </c>
      <c r="S674">
        <v>40</v>
      </c>
      <c r="T674" t="s">
        <v>69</v>
      </c>
      <c r="U674">
        <v>10</v>
      </c>
      <c r="V674">
        <v>0</v>
      </c>
      <c r="W674" t="s">
        <v>70</v>
      </c>
      <c r="X674" t="s">
        <v>68</v>
      </c>
      <c r="Y674" t="s">
        <v>86</v>
      </c>
      <c r="Z674" t="s">
        <v>124</v>
      </c>
    </row>
    <row r="675" spans="1:26" x14ac:dyDescent="0.2">
      <c r="A675" t="s">
        <v>1378</v>
      </c>
      <c r="B675" t="s">
        <v>229</v>
      </c>
      <c r="C675" t="s">
        <v>74</v>
      </c>
      <c r="D675" t="s">
        <v>313</v>
      </c>
      <c r="E675" t="s">
        <v>427</v>
      </c>
      <c r="F675" t="s">
        <v>77</v>
      </c>
      <c r="G675" t="s">
        <v>65</v>
      </c>
      <c r="H675" t="s">
        <v>78</v>
      </c>
      <c r="I675" t="s">
        <v>554</v>
      </c>
      <c r="J675" s="3">
        <v>41063</v>
      </c>
      <c r="K675">
        <v>13.6</v>
      </c>
      <c r="L675">
        <v>40</v>
      </c>
      <c r="M675" s="4">
        <v>12700</v>
      </c>
      <c r="N675" s="4">
        <v>190234</v>
      </c>
      <c r="O675" t="s">
        <v>68</v>
      </c>
      <c r="P675" t="s">
        <v>68</v>
      </c>
      <c r="Q675">
        <v>2.25</v>
      </c>
      <c r="R675">
        <v>57</v>
      </c>
      <c r="S675">
        <v>44</v>
      </c>
      <c r="T675" t="s">
        <v>69</v>
      </c>
      <c r="U675">
        <v>6</v>
      </c>
      <c r="V675">
        <v>29</v>
      </c>
      <c r="W675" t="s">
        <v>70</v>
      </c>
      <c r="X675" t="s">
        <v>68</v>
      </c>
      <c r="Y675" t="s">
        <v>86</v>
      </c>
      <c r="Z675" t="s">
        <v>74</v>
      </c>
    </row>
    <row r="676" spans="1:26" x14ac:dyDescent="0.2">
      <c r="A676" t="s">
        <v>1379</v>
      </c>
      <c r="B676" t="s">
        <v>611</v>
      </c>
      <c r="C676" t="s">
        <v>12</v>
      </c>
      <c r="D676" t="s">
        <v>421</v>
      </c>
      <c r="E676" t="s">
        <v>533</v>
      </c>
      <c r="F676" t="s">
        <v>92</v>
      </c>
      <c r="G676" t="s">
        <v>65</v>
      </c>
      <c r="H676" t="s">
        <v>78</v>
      </c>
      <c r="I676" t="s">
        <v>115</v>
      </c>
      <c r="J676" s="3">
        <v>45975</v>
      </c>
      <c r="K676">
        <v>0.1</v>
      </c>
      <c r="L676">
        <v>34</v>
      </c>
      <c r="M676" s="4">
        <v>4900</v>
      </c>
      <c r="N676" s="4">
        <v>71334</v>
      </c>
      <c r="O676" t="s">
        <v>68</v>
      </c>
      <c r="P676" t="s">
        <v>68</v>
      </c>
      <c r="Q676">
        <v>3.18</v>
      </c>
      <c r="R676">
        <v>56</v>
      </c>
      <c r="S676">
        <v>32</v>
      </c>
      <c r="T676" t="s">
        <v>69</v>
      </c>
      <c r="U676">
        <v>0</v>
      </c>
      <c r="V676">
        <v>0</v>
      </c>
      <c r="W676" t="s">
        <v>70</v>
      </c>
      <c r="X676" t="s">
        <v>68</v>
      </c>
      <c r="Y676" t="s">
        <v>71</v>
      </c>
      <c r="Z676" t="s">
        <v>12</v>
      </c>
    </row>
    <row r="677" spans="1:26" x14ac:dyDescent="0.2">
      <c r="A677" t="s">
        <v>1380</v>
      </c>
      <c r="B677" t="s">
        <v>327</v>
      </c>
      <c r="C677" t="s">
        <v>143</v>
      </c>
      <c r="D677" t="s">
        <v>207</v>
      </c>
      <c r="E677" t="s">
        <v>400</v>
      </c>
      <c r="F677" t="s">
        <v>120</v>
      </c>
      <c r="G677" t="s">
        <v>65</v>
      </c>
      <c r="H677" t="s">
        <v>78</v>
      </c>
      <c r="I677" t="s">
        <v>111</v>
      </c>
      <c r="J677" s="3">
        <v>42433</v>
      </c>
      <c r="K677">
        <v>9.8000000000000007</v>
      </c>
      <c r="L677">
        <v>38</v>
      </c>
      <c r="M677" s="4">
        <v>9700</v>
      </c>
      <c r="N677" s="4">
        <v>151131</v>
      </c>
      <c r="O677" t="s">
        <v>68</v>
      </c>
      <c r="P677" t="s">
        <v>69</v>
      </c>
      <c r="Q677">
        <v>1.88</v>
      </c>
      <c r="R677">
        <v>53</v>
      </c>
      <c r="S677">
        <v>30</v>
      </c>
      <c r="T677" t="s">
        <v>68</v>
      </c>
      <c r="U677">
        <v>7</v>
      </c>
      <c r="V677">
        <v>27</v>
      </c>
      <c r="W677" t="s">
        <v>70</v>
      </c>
      <c r="X677" t="s">
        <v>68</v>
      </c>
      <c r="Y677" t="s">
        <v>86</v>
      </c>
      <c r="Z677" t="s">
        <v>143</v>
      </c>
    </row>
    <row r="678" spans="1:26" x14ac:dyDescent="0.2">
      <c r="A678" t="s">
        <v>1381</v>
      </c>
      <c r="B678" t="s">
        <v>1092</v>
      </c>
      <c r="C678" t="s">
        <v>12</v>
      </c>
      <c r="D678" t="s">
        <v>82</v>
      </c>
      <c r="E678" t="s">
        <v>982</v>
      </c>
      <c r="F678" t="s">
        <v>120</v>
      </c>
      <c r="G678" t="s">
        <v>85</v>
      </c>
      <c r="H678" t="s">
        <v>78</v>
      </c>
      <c r="I678" t="s">
        <v>79</v>
      </c>
      <c r="J678" s="3">
        <v>44268</v>
      </c>
      <c r="K678">
        <v>4.8</v>
      </c>
      <c r="L678">
        <v>48</v>
      </c>
      <c r="M678" s="4">
        <v>9200</v>
      </c>
      <c r="N678" s="4">
        <v>132735</v>
      </c>
      <c r="O678" t="s">
        <v>68</v>
      </c>
      <c r="P678" t="s">
        <v>68</v>
      </c>
      <c r="Q678">
        <v>3.34</v>
      </c>
      <c r="R678">
        <v>72</v>
      </c>
      <c r="S678">
        <v>21</v>
      </c>
      <c r="T678" t="s">
        <v>69</v>
      </c>
      <c r="U678">
        <v>10</v>
      </c>
      <c r="V678">
        <v>0</v>
      </c>
      <c r="W678" t="s">
        <v>70</v>
      </c>
      <c r="X678" t="s">
        <v>68</v>
      </c>
      <c r="Y678" t="s">
        <v>71</v>
      </c>
      <c r="Z678" t="s">
        <v>12</v>
      </c>
    </row>
    <row r="679" spans="1:26" x14ac:dyDescent="0.2">
      <c r="A679" t="s">
        <v>1382</v>
      </c>
      <c r="B679" t="s">
        <v>1383</v>
      </c>
      <c r="C679" t="s">
        <v>108</v>
      </c>
      <c r="D679" t="s">
        <v>194</v>
      </c>
      <c r="E679" t="s">
        <v>1221</v>
      </c>
      <c r="F679" t="s">
        <v>84</v>
      </c>
      <c r="G679" t="s">
        <v>65</v>
      </c>
      <c r="H679" t="s">
        <v>78</v>
      </c>
      <c r="I679" t="s">
        <v>67</v>
      </c>
      <c r="J679" s="3">
        <v>44768</v>
      </c>
      <c r="K679">
        <v>3.4</v>
      </c>
      <c r="L679">
        <v>60</v>
      </c>
      <c r="M679" s="4">
        <v>18000</v>
      </c>
      <c r="N679" s="4">
        <v>264002</v>
      </c>
      <c r="O679" t="s">
        <v>69</v>
      </c>
      <c r="P679" t="s">
        <v>69</v>
      </c>
      <c r="Q679">
        <v>3.42</v>
      </c>
      <c r="R679">
        <v>58</v>
      </c>
      <c r="S679">
        <v>41</v>
      </c>
      <c r="T679" t="s">
        <v>68</v>
      </c>
      <c r="U679">
        <v>3</v>
      </c>
      <c r="V679">
        <v>37</v>
      </c>
      <c r="W679" t="s">
        <v>68</v>
      </c>
      <c r="X679" t="s">
        <v>68</v>
      </c>
      <c r="Y679" t="s">
        <v>86</v>
      </c>
      <c r="Z679" t="s">
        <v>108</v>
      </c>
    </row>
    <row r="680" spans="1:26" x14ac:dyDescent="0.2">
      <c r="A680" t="s">
        <v>1384</v>
      </c>
      <c r="B680" t="s">
        <v>1385</v>
      </c>
      <c r="C680" t="s">
        <v>108</v>
      </c>
      <c r="D680" t="s">
        <v>222</v>
      </c>
      <c r="E680" t="s">
        <v>544</v>
      </c>
      <c r="F680" t="s">
        <v>136</v>
      </c>
      <c r="G680" t="s">
        <v>65</v>
      </c>
      <c r="H680" t="s">
        <v>78</v>
      </c>
      <c r="I680" t="s">
        <v>79</v>
      </c>
      <c r="J680" s="3">
        <v>42903</v>
      </c>
      <c r="K680">
        <v>8.5</v>
      </c>
      <c r="L680">
        <v>56</v>
      </c>
      <c r="M680" s="4">
        <v>11100</v>
      </c>
      <c r="N680" s="4">
        <v>177797</v>
      </c>
      <c r="O680" t="s">
        <v>68</v>
      </c>
      <c r="P680" t="s">
        <v>69</v>
      </c>
      <c r="Q680">
        <v>2.9</v>
      </c>
      <c r="R680">
        <v>70</v>
      </c>
      <c r="S680">
        <v>29</v>
      </c>
      <c r="T680" t="s">
        <v>69</v>
      </c>
      <c r="U680">
        <v>5</v>
      </c>
      <c r="V680">
        <v>23</v>
      </c>
      <c r="W680" t="s">
        <v>70</v>
      </c>
      <c r="X680" t="s">
        <v>68</v>
      </c>
      <c r="Y680" t="s">
        <v>71</v>
      </c>
      <c r="Z680" t="s">
        <v>108</v>
      </c>
    </row>
    <row r="681" spans="1:26" x14ac:dyDescent="0.2">
      <c r="A681" t="s">
        <v>1386</v>
      </c>
      <c r="B681" t="s">
        <v>1043</v>
      </c>
      <c r="C681" t="s">
        <v>89</v>
      </c>
      <c r="D681" t="s">
        <v>90</v>
      </c>
      <c r="E681" t="s">
        <v>187</v>
      </c>
      <c r="F681" t="s">
        <v>120</v>
      </c>
      <c r="G681" t="s">
        <v>65</v>
      </c>
      <c r="H681" t="s">
        <v>78</v>
      </c>
      <c r="I681" t="s">
        <v>79</v>
      </c>
      <c r="J681" s="3">
        <v>45723</v>
      </c>
      <c r="K681">
        <v>0.8</v>
      </c>
      <c r="L681">
        <v>49</v>
      </c>
      <c r="M681" s="4">
        <v>7600</v>
      </c>
      <c r="N681" s="4">
        <v>122866</v>
      </c>
      <c r="O681" t="s">
        <v>68</v>
      </c>
      <c r="P681" t="s">
        <v>69</v>
      </c>
      <c r="Q681">
        <v>2.84</v>
      </c>
      <c r="R681">
        <v>66</v>
      </c>
      <c r="S681">
        <v>35</v>
      </c>
      <c r="T681" t="s">
        <v>69</v>
      </c>
      <c r="U681">
        <v>12</v>
      </c>
      <c r="V681">
        <v>52</v>
      </c>
      <c r="W681" t="s">
        <v>70</v>
      </c>
      <c r="X681" t="s">
        <v>68</v>
      </c>
      <c r="Y681" t="s">
        <v>86</v>
      </c>
      <c r="Z681" t="s">
        <v>89</v>
      </c>
    </row>
    <row r="682" spans="1:26" x14ac:dyDescent="0.2">
      <c r="A682" t="s">
        <v>1387</v>
      </c>
      <c r="B682" t="s">
        <v>491</v>
      </c>
      <c r="C682" t="s">
        <v>108</v>
      </c>
      <c r="D682" t="s">
        <v>222</v>
      </c>
      <c r="E682" t="s">
        <v>375</v>
      </c>
      <c r="F682" t="s">
        <v>84</v>
      </c>
      <c r="G682" t="s">
        <v>65</v>
      </c>
      <c r="H682" t="s">
        <v>66</v>
      </c>
      <c r="I682" t="s">
        <v>121</v>
      </c>
      <c r="J682" s="3">
        <v>42978</v>
      </c>
      <c r="K682">
        <v>8.3000000000000007</v>
      </c>
      <c r="L682">
        <v>49</v>
      </c>
      <c r="M682" s="4">
        <v>22300</v>
      </c>
      <c r="N682" s="4">
        <v>322422</v>
      </c>
      <c r="O682" t="s">
        <v>69</v>
      </c>
      <c r="P682" t="s">
        <v>69</v>
      </c>
      <c r="Q682">
        <v>4</v>
      </c>
      <c r="R682">
        <v>80</v>
      </c>
      <c r="S682">
        <v>31</v>
      </c>
      <c r="T682" t="s">
        <v>69</v>
      </c>
      <c r="U682">
        <v>5</v>
      </c>
      <c r="V682">
        <v>5</v>
      </c>
      <c r="W682" t="s">
        <v>68</v>
      </c>
      <c r="X682" t="s">
        <v>69</v>
      </c>
      <c r="Y682" t="s">
        <v>71</v>
      </c>
      <c r="Z682" t="s">
        <v>108</v>
      </c>
    </row>
    <row r="683" spans="1:26" x14ac:dyDescent="0.2">
      <c r="A683" t="s">
        <v>1388</v>
      </c>
      <c r="B683" t="s">
        <v>900</v>
      </c>
      <c r="C683" t="s">
        <v>89</v>
      </c>
      <c r="D683" t="s">
        <v>154</v>
      </c>
      <c r="E683" t="s">
        <v>650</v>
      </c>
      <c r="F683" t="s">
        <v>77</v>
      </c>
      <c r="G683" t="s">
        <v>85</v>
      </c>
      <c r="H683" t="s">
        <v>66</v>
      </c>
      <c r="I683" t="s">
        <v>67</v>
      </c>
      <c r="J683" s="3">
        <v>44476</v>
      </c>
      <c r="K683">
        <v>4.2</v>
      </c>
      <c r="L683">
        <v>60</v>
      </c>
      <c r="M683" s="4">
        <v>9900</v>
      </c>
      <c r="N683" s="4">
        <v>163153</v>
      </c>
      <c r="O683" t="s">
        <v>68</v>
      </c>
      <c r="P683" t="s">
        <v>69</v>
      </c>
      <c r="Q683">
        <v>3.19</v>
      </c>
      <c r="R683">
        <v>70</v>
      </c>
      <c r="S683">
        <v>5</v>
      </c>
      <c r="T683" t="s">
        <v>69</v>
      </c>
      <c r="U683">
        <v>1</v>
      </c>
      <c r="V683">
        <v>0</v>
      </c>
      <c r="W683" t="s">
        <v>70</v>
      </c>
      <c r="X683" t="s">
        <v>68</v>
      </c>
      <c r="Y683" t="s">
        <v>71</v>
      </c>
      <c r="Z683" t="s">
        <v>89</v>
      </c>
    </row>
    <row r="684" spans="1:26" x14ac:dyDescent="0.2">
      <c r="A684" t="s">
        <v>1389</v>
      </c>
      <c r="B684" t="s">
        <v>1369</v>
      </c>
      <c r="C684" t="s">
        <v>108</v>
      </c>
      <c r="D684" t="s">
        <v>109</v>
      </c>
      <c r="E684" t="s">
        <v>310</v>
      </c>
      <c r="F684" t="s">
        <v>84</v>
      </c>
      <c r="G684" t="s">
        <v>65</v>
      </c>
      <c r="H684" t="s">
        <v>78</v>
      </c>
      <c r="I684" t="s">
        <v>115</v>
      </c>
      <c r="J684" s="3">
        <v>44967</v>
      </c>
      <c r="K684">
        <v>2.9</v>
      </c>
      <c r="L684">
        <v>43</v>
      </c>
      <c r="M684" s="4">
        <v>18500</v>
      </c>
      <c r="N684" s="4">
        <v>279675</v>
      </c>
      <c r="O684" t="s">
        <v>69</v>
      </c>
      <c r="P684" t="s">
        <v>69</v>
      </c>
      <c r="Q684">
        <v>2.74</v>
      </c>
      <c r="R684">
        <v>60</v>
      </c>
      <c r="S684">
        <v>22</v>
      </c>
      <c r="T684" t="s">
        <v>69</v>
      </c>
      <c r="U684">
        <v>10</v>
      </c>
      <c r="V684">
        <v>56</v>
      </c>
      <c r="W684" t="s">
        <v>68</v>
      </c>
      <c r="X684" t="s">
        <v>68</v>
      </c>
      <c r="Y684" t="s">
        <v>86</v>
      </c>
      <c r="Z684" t="s">
        <v>108</v>
      </c>
    </row>
    <row r="685" spans="1:26" x14ac:dyDescent="0.2">
      <c r="A685" t="s">
        <v>1390</v>
      </c>
      <c r="B685" t="s">
        <v>1391</v>
      </c>
      <c r="C685" t="s">
        <v>61</v>
      </c>
      <c r="D685" t="s">
        <v>604</v>
      </c>
      <c r="E685" t="s">
        <v>897</v>
      </c>
      <c r="F685" t="s">
        <v>77</v>
      </c>
      <c r="G685" t="s">
        <v>85</v>
      </c>
      <c r="H685" t="s">
        <v>66</v>
      </c>
      <c r="I685" t="s">
        <v>67</v>
      </c>
      <c r="J685" s="3">
        <v>41461</v>
      </c>
      <c r="K685">
        <v>12.5</v>
      </c>
      <c r="L685">
        <v>59</v>
      </c>
      <c r="M685" s="4">
        <v>11400</v>
      </c>
      <c r="N685" s="4">
        <v>169630</v>
      </c>
      <c r="O685" t="s">
        <v>68</v>
      </c>
      <c r="P685" t="s">
        <v>68</v>
      </c>
      <c r="Q685">
        <v>2.6</v>
      </c>
      <c r="R685">
        <v>55</v>
      </c>
      <c r="S685">
        <v>13</v>
      </c>
      <c r="T685" t="s">
        <v>69</v>
      </c>
      <c r="U685">
        <v>5</v>
      </c>
      <c r="V685">
        <v>6</v>
      </c>
      <c r="W685" t="s">
        <v>70</v>
      </c>
      <c r="X685" t="s">
        <v>68</v>
      </c>
      <c r="Y685" t="s">
        <v>71</v>
      </c>
      <c r="Z685" t="s">
        <v>61</v>
      </c>
    </row>
    <row r="686" spans="1:26" x14ac:dyDescent="0.2">
      <c r="A686" t="s">
        <v>1392</v>
      </c>
      <c r="B686" t="s">
        <v>283</v>
      </c>
      <c r="C686" t="s">
        <v>89</v>
      </c>
      <c r="D686" t="s">
        <v>154</v>
      </c>
      <c r="E686" t="s">
        <v>155</v>
      </c>
      <c r="F686" t="s">
        <v>120</v>
      </c>
      <c r="G686" t="s">
        <v>65</v>
      </c>
      <c r="H686" t="s">
        <v>78</v>
      </c>
      <c r="I686" t="s">
        <v>111</v>
      </c>
      <c r="J686" s="3">
        <v>42141</v>
      </c>
      <c r="K686">
        <v>10.6</v>
      </c>
      <c r="L686">
        <v>55</v>
      </c>
      <c r="M686" s="4">
        <v>9300</v>
      </c>
      <c r="N686" s="4">
        <v>152163</v>
      </c>
      <c r="O686" t="s">
        <v>68</v>
      </c>
      <c r="P686" t="s">
        <v>69</v>
      </c>
      <c r="Q686">
        <v>2.7</v>
      </c>
      <c r="R686">
        <v>65</v>
      </c>
      <c r="S686">
        <v>6</v>
      </c>
      <c r="T686" t="s">
        <v>68</v>
      </c>
      <c r="U686">
        <v>5</v>
      </c>
      <c r="V686">
        <v>16</v>
      </c>
      <c r="W686" t="s">
        <v>70</v>
      </c>
      <c r="X686" t="s">
        <v>68</v>
      </c>
      <c r="Y686" t="s">
        <v>71</v>
      </c>
      <c r="Z686" t="s">
        <v>89</v>
      </c>
    </row>
    <row r="687" spans="1:26" x14ac:dyDescent="0.2">
      <c r="A687" t="s">
        <v>1393</v>
      </c>
      <c r="B687" t="s">
        <v>257</v>
      </c>
      <c r="C687" t="s">
        <v>108</v>
      </c>
      <c r="D687" t="s">
        <v>109</v>
      </c>
      <c r="E687" t="s">
        <v>600</v>
      </c>
      <c r="F687" t="s">
        <v>120</v>
      </c>
      <c r="G687" t="s">
        <v>85</v>
      </c>
      <c r="H687" t="s">
        <v>78</v>
      </c>
      <c r="I687" t="s">
        <v>67</v>
      </c>
      <c r="J687" s="3">
        <v>42039</v>
      </c>
      <c r="K687">
        <v>10.9</v>
      </c>
      <c r="L687">
        <v>27</v>
      </c>
      <c r="M687" s="4">
        <v>8600</v>
      </c>
      <c r="N687" s="4">
        <v>129290</v>
      </c>
      <c r="O687" t="s">
        <v>68</v>
      </c>
      <c r="P687" t="s">
        <v>69</v>
      </c>
      <c r="Q687">
        <v>2.6</v>
      </c>
      <c r="R687">
        <v>58</v>
      </c>
      <c r="S687">
        <v>23</v>
      </c>
      <c r="T687" t="s">
        <v>69</v>
      </c>
      <c r="U687">
        <v>4</v>
      </c>
      <c r="V687">
        <v>17</v>
      </c>
      <c r="W687" t="s">
        <v>70</v>
      </c>
      <c r="X687" t="s">
        <v>68</v>
      </c>
      <c r="Y687" t="s">
        <v>71</v>
      </c>
      <c r="Z687" t="s">
        <v>108</v>
      </c>
    </row>
    <row r="688" spans="1:26" x14ac:dyDescent="0.2">
      <c r="A688" t="s">
        <v>1394</v>
      </c>
      <c r="B688" t="s">
        <v>611</v>
      </c>
      <c r="C688" t="s">
        <v>133</v>
      </c>
      <c r="D688" t="s">
        <v>287</v>
      </c>
      <c r="E688" t="s">
        <v>288</v>
      </c>
      <c r="F688" t="s">
        <v>64</v>
      </c>
      <c r="G688" t="s">
        <v>65</v>
      </c>
      <c r="H688" t="s">
        <v>78</v>
      </c>
      <c r="I688" t="s">
        <v>93</v>
      </c>
      <c r="J688" s="3">
        <v>45093</v>
      </c>
      <c r="K688">
        <v>2.5</v>
      </c>
      <c r="L688">
        <v>50</v>
      </c>
      <c r="M688" s="4">
        <v>6800</v>
      </c>
      <c r="N688" s="4">
        <v>112227</v>
      </c>
      <c r="O688" t="s">
        <v>68</v>
      </c>
      <c r="P688" t="s">
        <v>68</v>
      </c>
      <c r="Q688">
        <v>3.92</v>
      </c>
      <c r="R688">
        <v>64</v>
      </c>
      <c r="S688">
        <v>27</v>
      </c>
      <c r="T688" t="s">
        <v>69</v>
      </c>
      <c r="U688">
        <v>5</v>
      </c>
      <c r="V688">
        <v>38</v>
      </c>
      <c r="W688" t="s">
        <v>70</v>
      </c>
      <c r="X688" t="s">
        <v>69</v>
      </c>
      <c r="Y688" t="s">
        <v>86</v>
      </c>
      <c r="Z688" t="s">
        <v>133</v>
      </c>
    </row>
    <row r="689" spans="1:26" x14ac:dyDescent="0.2">
      <c r="A689" t="s">
        <v>1395</v>
      </c>
      <c r="B689" t="s">
        <v>1353</v>
      </c>
      <c r="C689" t="s">
        <v>96</v>
      </c>
      <c r="D689" t="s">
        <v>129</v>
      </c>
      <c r="E689" t="s">
        <v>271</v>
      </c>
      <c r="F689" t="s">
        <v>92</v>
      </c>
      <c r="G689" t="s">
        <v>85</v>
      </c>
      <c r="H689" t="s">
        <v>66</v>
      </c>
      <c r="I689" t="s">
        <v>67</v>
      </c>
      <c r="J689" s="3">
        <v>42028</v>
      </c>
      <c r="K689">
        <v>10.9</v>
      </c>
      <c r="L689">
        <v>45</v>
      </c>
      <c r="M689" s="4">
        <v>4400</v>
      </c>
      <c r="N689" s="4">
        <v>70078</v>
      </c>
      <c r="O689" t="s">
        <v>68</v>
      </c>
      <c r="P689" t="s">
        <v>69</v>
      </c>
      <c r="Q689">
        <v>3.24</v>
      </c>
      <c r="R689">
        <v>60</v>
      </c>
      <c r="S689">
        <v>21</v>
      </c>
      <c r="T689" t="s">
        <v>69</v>
      </c>
      <c r="U689">
        <v>0</v>
      </c>
      <c r="V689">
        <v>22</v>
      </c>
      <c r="W689" t="s">
        <v>70</v>
      </c>
      <c r="X689" t="s">
        <v>68</v>
      </c>
      <c r="Y689" t="s">
        <v>86</v>
      </c>
      <c r="Z689" t="s">
        <v>96</v>
      </c>
    </row>
    <row r="690" spans="1:26" x14ac:dyDescent="0.2">
      <c r="A690" t="s">
        <v>1396</v>
      </c>
      <c r="B690" t="s">
        <v>623</v>
      </c>
      <c r="C690" t="s">
        <v>74</v>
      </c>
      <c r="D690" t="s">
        <v>313</v>
      </c>
      <c r="E690" t="s">
        <v>1397</v>
      </c>
      <c r="F690" t="s">
        <v>84</v>
      </c>
      <c r="G690" t="s">
        <v>65</v>
      </c>
      <c r="H690" t="s">
        <v>66</v>
      </c>
      <c r="I690" t="s">
        <v>115</v>
      </c>
      <c r="J690" s="3">
        <v>44963</v>
      </c>
      <c r="K690">
        <v>2.9</v>
      </c>
      <c r="L690">
        <v>49</v>
      </c>
      <c r="M690" s="4">
        <v>16900</v>
      </c>
      <c r="N690" s="4">
        <v>270959</v>
      </c>
      <c r="O690" t="s">
        <v>69</v>
      </c>
      <c r="P690" t="s">
        <v>68</v>
      </c>
      <c r="Q690">
        <v>2.89</v>
      </c>
      <c r="R690">
        <v>62</v>
      </c>
      <c r="S690">
        <v>49</v>
      </c>
      <c r="T690" t="s">
        <v>69</v>
      </c>
      <c r="U690">
        <v>5</v>
      </c>
      <c r="V690">
        <v>38</v>
      </c>
      <c r="W690" t="s">
        <v>68</v>
      </c>
      <c r="X690" t="s">
        <v>68</v>
      </c>
      <c r="Y690" t="s">
        <v>71</v>
      </c>
      <c r="Z690" t="s">
        <v>74</v>
      </c>
    </row>
    <row r="691" spans="1:26" x14ac:dyDescent="0.2">
      <c r="A691" t="s">
        <v>1398</v>
      </c>
      <c r="B691" t="s">
        <v>882</v>
      </c>
      <c r="C691" t="s">
        <v>74</v>
      </c>
      <c r="D691" t="s">
        <v>118</v>
      </c>
      <c r="E691" t="s">
        <v>1053</v>
      </c>
      <c r="F691" t="s">
        <v>92</v>
      </c>
      <c r="G691" t="s">
        <v>65</v>
      </c>
      <c r="H691" t="s">
        <v>66</v>
      </c>
      <c r="I691" t="s">
        <v>148</v>
      </c>
      <c r="J691" s="3">
        <v>44264</v>
      </c>
      <c r="K691">
        <v>4.8</v>
      </c>
      <c r="L691">
        <v>53</v>
      </c>
      <c r="M691" s="4">
        <v>4700</v>
      </c>
      <c r="N691" s="4">
        <v>72460</v>
      </c>
      <c r="O691" t="s">
        <v>68</v>
      </c>
      <c r="P691" t="s">
        <v>68</v>
      </c>
      <c r="Q691">
        <v>3.72</v>
      </c>
      <c r="R691">
        <v>75</v>
      </c>
      <c r="S691">
        <v>5</v>
      </c>
      <c r="T691" t="s">
        <v>69</v>
      </c>
      <c r="U691">
        <v>4</v>
      </c>
      <c r="V691">
        <v>22</v>
      </c>
      <c r="W691" t="s">
        <v>70</v>
      </c>
      <c r="X691" t="s">
        <v>69</v>
      </c>
      <c r="Y691" t="s">
        <v>71</v>
      </c>
      <c r="Z691" t="s">
        <v>74</v>
      </c>
    </row>
    <row r="692" spans="1:26" x14ac:dyDescent="0.2">
      <c r="A692" t="s">
        <v>1399</v>
      </c>
      <c r="B692" t="s">
        <v>791</v>
      </c>
      <c r="C692" t="s">
        <v>102</v>
      </c>
      <c r="D692" t="s">
        <v>166</v>
      </c>
      <c r="E692" t="s">
        <v>1059</v>
      </c>
      <c r="F692" t="s">
        <v>92</v>
      </c>
      <c r="G692" t="s">
        <v>85</v>
      </c>
      <c r="H692" t="s">
        <v>78</v>
      </c>
      <c r="I692" t="s">
        <v>148</v>
      </c>
      <c r="J692" s="3">
        <v>45494</v>
      </c>
      <c r="K692">
        <v>1.4</v>
      </c>
      <c r="L692">
        <v>44</v>
      </c>
      <c r="M692" s="4">
        <v>5600</v>
      </c>
      <c r="N692" s="4">
        <v>85220</v>
      </c>
      <c r="O692" t="s">
        <v>68</v>
      </c>
      <c r="P692" t="s">
        <v>69</v>
      </c>
      <c r="Q692">
        <v>2.95</v>
      </c>
      <c r="R692">
        <v>63</v>
      </c>
      <c r="S692">
        <v>26</v>
      </c>
      <c r="T692" t="s">
        <v>69</v>
      </c>
      <c r="U692">
        <v>2</v>
      </c>
      <c r="V692">
        <v>0</v>
      </c>
      <c r="W692" t="s">
        <v>70</v>
      </c>
      <c r="X692" t="s">
        <v>68</v>
      </c>
      <c r="Y692" t="s">
        <v>71</v>
      </c>
      <c r="Z692" t="s">
        <v>102</v>
      </c>
    </row>
    <row r="693" spans="1:26" x14ac:dyDescent="0.2">
      <c r="A693" t="s">
        <v>1400</v>
      </c>
      <c r="B693" t="s">
        <v>480</v>
      </c>
      <c r="C693" t="s">
        <v>108</v>
      </c>
      <c r="D693" t="s">
        <v>109</v>
      </c>
      <c r="E693" t="s">
        <v>355</v>
      </c>
      <c r="F693" t="s">
        <v>77</v>
      </c>
      <c r="G693" t="s">
        <v>65</v>
      </c>
      <c r="H693" t="s">
        <v>66</v>
      </c>
      <c r="I693" t="s">
        <v>67</v>
      </c>
      <c r="J693" s="3">
        <v>41290</v>
      </c>
      <c r="K693">
        <v>13</v>
      </c>
      <c r="L693">
        <v>50</v>
      </c>
      <c r="M693" s="4">
        <v>13500</v>
      </c>
      <c r="N693" s="4">
        <v>214864</v>
      </c>
      <c r="O693" t="s">
        <v>69</v>
      </c>
      <c r="P693" t="s">
        <v>69</v>
      </c>
      <c r="Q693">
        <v>3.1</v>
      </c>
      <c r="R693">
        <v>70</v>
      </c>
      <c r="S693">
        <v>36</v>
      </c>
      <c r="T693" t="s">
        <v>69</v>
      </c>
      <c r="U693">
        <v>5</v>
      </c>
      <c r="V693">
        <v>7</v>
      </c>
      <c r="W693" t="s">
        <v>68</v>
      </c>
      <c r="X693" t="s">
        <v>68</v>
      </c>
      <c r="Y693" t="s">
        <v>71</v>
      </c>
      <c r="Z693" t="s">
        <v>108</v>
      </c>
    </row>
    <row r="694" spans="1:26" x14ac:dyDescent="0.2">
      <c r="A694" t="s">
        <v>1401</v>
      </c>
      <c r="B694" t="s">
        <v>161</v>
      </c>
      <c r="C694" t="s">
        <v>102</v>
      </c>
      <c r="D694" t="s">
        <v>183</v>
      </c>
      <c r="E694" t="s">
        <v>184</v>
      </c>
      <c r="F694" t="s">
        <v>120</v>
      </c>
      <c r="G694" t="s">
        <v>227</v>
      </c>
      <c r="H694" t="s">
        <v>78</v>
      </c>
      <c r="I694" t="s">
        <v>111</v>
      </c>
      <c r="J694" s="3">
        <v>43106</v>
      </c>
      <c r="K694">
        <v>8</v>
      </c>
      <c r="L694">
        <v>28</v>
      </c>
      <c r="M694" s="4">
        <v>6600</v>
      </c>
      <c r="N694" s="4">
        <v>102345</v>
      </c>
      <c r="O694" t="s">
        <v>68</v>
      </c>
      <c r="P694" t="s">
        <v>69</v>
      </c>
      <c r="Q694">
        <v>3.1</v>
      </c>
      <c r="R694">
        <v>63</v>
      </c>
      <c r="S694">
        <v>33</v>
      </c>
      <c r="T694" t="s">
        <v>69</v>
      </c>
      <c r="U694">
        <v>4</v>
      </c>
      <c r="V694">
        <v>22</v>
      </c>
      <c r="W694" t="s">
        <v>70</v>
      </c>
      <c r="X694" t="s">
        <v>68</v>
      </c>
      <c r="Y694" t="s">
        <v>71</v>
      </c>
      <c r="Z694" t="s">
        <v>102</v>
      </c>
    </row>
    <row r="695" spans="1:26" x14ac:dyDescent="0.2">
      <c r="A695" t="s">
        <v>1402</v>
      </c>
      <c r="B695" t="s">
        <v>1403</v>
      </c>
      <c r="C695" t="s">
        <v>96</v>
      </c>
      <c r="D695" t="s">
        <v>162</v>
      </c>
      <c r="E695" t="s">
        <v>1082</v>
      </c>
      <c r="F695" t="s">
        <v>77</v>
      </c>
      <c r="G695" t="s">
        <v>65</v>
      </c>
      <c r="H695" t="s">
        <v>78</v>
      </c>
      <c r="I695" t="s">
        <v>111</v>
      </c>
      <c r="J695" s="3">
        <v>42893</v>
      </c>
      <c r="K695">
        <v>8.6</v>
      </c>
      <c r="L695">
        <v>49</v>
      </c>
      <c r="M695" s="4">
        <v>11800</v>
      </c>
      <c r="N695" s="4">
        <v>172894</v>
      </c>
      <c r="O695" t="s">
        <v>68</v>
      </c>
      <c r="P695" t="s">
        <v>69</v>
      </c>
      <c r="Q695">
        <v>3.11</v>
      </c>
      <c r="R695">
        <v>59</v>
      </c>
      <c r="S695">
        <v>9</v>
      </c>
      <c r="T695" t="s">
        <v>69</v>
      </c>
      <c r="U695">
        <v>1</v>
      </c>
      <c r="V695">
        <v>0</v>
      </c>
      <c r="W695" t="s">
        <v>70</v>
      </c>
      <c r="X695" t="s">
        <v>68</v>
      </c>
      <c r="Y695" t="s">
        <v>71</v>
      </c>
      <c r="Z695" t="s">
        <v>96</v>
      </c>
    </row>
    <row r="696" spans="1:26" x14ac:dyDescent="0.2">
      <c r="A696" t="s">
        <v>1404</v>
      </c>
      <c r="B696" t="s">
        <v>1072</v>
      </c>
      <c r="C696" t="s">
        <v>108</v>
      </c>
      <c r="D696" t="s">
        <v>222</v>
      </c>
      <c r="E696" t="s">
        <v>276</v>
      </c>
      <c r="F696" t="s">
        <v>120</v>
      </c>
      <c r="G696" t="s">
        <v>65</v>
      </c>
      <c r="H696" t="s">
        <v>78</v>
      </c>
      <c r="I696" t="s">
        <v>99</v>
      </c>
      <c r="J696" s="3">
        <v>45373</v>
      </c>
      <c r="K696">
        <v>1.8</v>
      </c>
      <c r="L696">
        <v>46</v>
      </c>
      <c r="M696" s="4">
        <v>10900</v>
      </c>
      <c r="N696" s="4">
        <v>166473</v>
      </c>
      <c r="O696" t="s">
        <v>68</v>
      </c>
      <c r="P696" t="s">
        <v>69</v>
      </c>
      <c r="Q696">
        <v>3.28</v>
      </c>
      <c r="R696">
        <v>59</v>
      </c>
      <c r="S696">
        <v>29</v>
      </c>
      <c r="T696" t="s">
        <v>69</v>
      </c>
      <c r="U696">
        <v>5</v>
      </c>
      <c r="V696">
        <v>20</v>
      </c>
      <c r="W696" t="s">
        <v>70</v>
      </c>
      <c r="X696" t="s">
        <v>68</v>
      </c>
      <c r="Y696" t="s">
        <v>71</v>
      </c>
      <c r="Z696" t="s">
        <v>108</v>
      </c>
    </row>
    <row r="697" spans="1:26" x14ac:dyDescent="0.2">
      <c r="A697" t="s">
        <v>1405</v>
      </c>
      <c r="B697" t="s">
        <v>123</v>
      </c>
      <c r="C697" t="s">
        <v>124</v>
      </c>
      <c r="D697" t="s">
        <v>243</v>
      </c>
      <c r="E697" t="s">
        <v>244</v>
      </c>
      <c r="F697" t="s">
        <v>92</v>
      </c>
      <c r="G697" t="s">
        <v>65</v>
      </c>
      <c r="H697" t="s">
        <v>78</v>
      </c>
      <c r="I697" t="s">
        <v>111</v>
      </c>
      <c r="J697" s="3">
        <v>45339</v>
      </c>
      <c r="K697">
        <v>1.9</v>
      </c>
      <c r="L697">
        <v>43</v>
      </c>
      <c r="M697" s="4">
        <v>4900</v>
      </c>
      <c r="N697" s="4">
        <v>79061</v>
      </c>
      <c r="O697" t="s">
        <v>68</v>
      </c>
      <c r="P697" t="s">
        <v>68</v>
      </c>
      <c r="Q697">
        <v>2.88</v>
      </c>
      <c r="R697">
        <v>71</v>
      </c>
      <c r="S697">
        <v>17</v>
      </c>
      <c r="T697" t="s">
        <v>68</v>
      </c>
      <c r="U697">
        <v>0</v>
      </c>
      <c r="V697">
        <v>17</v>
      </c>
      <c r="W697" t="s">
        <v>70</v>
      </c>
      <c r="X697" t="s">
        <v>68</v>
      </c>
      <c r="Y697" t="s">
        <v>71</v>
      </c>
      <c r="Z697" t="s">
        <v>124</v>
      </c>
    </row>
    <row r="698" spans="1:26" x14ac:dyDescent="0.2">
      <c r="A698" t="s">
        <v>1406</v>
      </c>
      <c r="B698" t="s">
        <v>1407</v>
      </c>
      <c r="C698" t="s">
        <v>108</v>
      </c>
      <c r="D698" t="s">
        <v>194</v>
      </c>
      <c r="E698" t="s">
        <v>195</v>
      </c>
      <c r="F698" t="s">
        <v>64</v>
      </c>
      <c r="G698" t="s">
        <v>65</v>
      </c>
      <c r="H698" t="s">
        <v>66</v>
      </c>
      <c r="I698" t="s">
        <v>79</v>
      </c>
      <c r="J698" s="3">
        <v>43239</v>
      </c>
      <c r="K698">
        <v>7.6</v>
      </c>
      <c r="L698">
        <v>46</v>
      </c>
      <c r="M698" s="4">
        <v>6600</v>
      </c>
      <c r="N698" s="4">
        <v>97854</v>
      </c>
      <c r="O698" t="s">
        <v>68</v>
      </c>
      <c r="P698" t="s">
        <v>69</v>
      </c>
      <c r="Q698">
        <v>3.31</v>
      </c>
      <c r="R698">
        <v>46</v>
      </c>
      <c r="S698">
        <v>46</v>
      </c>
      <c r="T698" t="s">
        <v>69</v>
      </c>
      <c r="U698">
        <v>5</v>
      </c>
      <c r="V698">
        <v>36</v>
      </c>
      <c r="W698" t="s">
        <v>70</v>
      </c>
      <c r="X698" t="s">
        <v>68</v>
      </c>
      <c r="Y698" t="s">
        <v>86</v>
      </c>
      <c r="Z698" t="s">
        <v>108</v>
      </c>
    </row>
    <row r="699" spans="1:26" x14ac:dyDescent="0.2">
      <c r="A699" t="s">
        <v>1408</v>
      </c>
      <c r="B699" t="s">
        <v>1385</v>
      </c>
      <c r="C699" t="s">
        <v>61</v>
      </c>
      <c r="D699" t="s">
        <v>604</v>
      </c>
      <c r="E699" t="s">
        <v>792</v>
      </c>
      <c r="F699" t="s">
        <v>120</v>
      </c>
      <c r="G699" t="s">
        <v>215</v>
      </c>
      <c r="H699" t="s">
        <v>78</v>
      </c>
      <c r="I699" t="s">
        <v>93</v>
      </c>
      <c r="J699" s="3">
        <v>42369</v>
      </c>
      <c r="K699">
        <v>10</v>
      </c>
      <c r="L699">
        <v>35</v>
      </c>
      <c r="M699" s="4">
        <v>7500</v>
      </c>
      <c r="N699" s="4">
        <v>110445</v>
      </c>
      <c r="O699" t="s">
        <v>68</v>
      </c>
      <c r="P699" t="s">
        <v>69</v>
      </c>
      <c r="Q699">
        <v>3.06</v>
      </c>
      <c r="R699">
        <v>67</v>
      </c>
      <c r="S699">
        <v>35</v>
      </c>
      <c r="T699" t="s">
        <v>69</v>
      </c>
      <c r="U699">
        <v>6</v>
      </c>
      <c r="V699">
        <v>0</v>
      </c>
      <c r="W699" t="s">
        <v>70</v>
      </c>
      <c r="X699" t="s">
        <v>68</v>
      </c>
      <c r="Y699" t="s">
        <v>71</v>
      </c>
      <c r="Z699" t="s">
        <v>61</v>
      </c>
    </row>
    <row r="700" spans="1:26" x14ac:dyDescent="0.2">
      <c r="A700" t="s">
        <v>1409</v>
      </c>
      <c r="B700" t="s">
        <v>582</v>
      </c>
      <c r="C700" t="s">
        <v>74</v>
      </c>
      <c r="D700" t="s">
        <v>75</v>
      </c>
      <c r="E700" t="s">
        <v>76</v>
      </c>
      <c r="F700" t="s">
        <v>77</v>
      </c>
      <c r="G700" t="s">
        <v>227</v>
      </c>
      <c r="H700" t="s">
        <v>66</v>
      </c>
      <c r="I700" t="s">
        <v>148</v>
      </c>
      <c r="J700" s="3">
        <v>45323</v>
      </c>
      <c r="K700">
        <v>1.9</v>
      </c>
      <c r="L700">
        <v>34</v>
      </c>
      <c r="M700" s="4">
        <v>12100</v>
      </c>
      <c r="N700" s="4">
        <v>174995</v>
      </c>
      <c r="O700" t="s">
        <v>68</v>
      </c>
      <c r="P700" t="s">
        <v>68</v>
      </c>
      <c r="Q700">
        <v>3.11</v>
      </c>
      <c r="R700">
        <v>62</v>
      </c>
      <c r="S700">
        <v>10</v>
      </c>
      <c r="T700" t="s">
        <v>69</v>
      </c>
      <c r="U700">
        <v>0</v>
      </c>
      <c r="V700">
        <v>34</v>
      </c>
      <c r="W700" t="s">
        <v>70</v>
      </c>
      <c r="X700" t="s">
        <v>68</v>
      </c>
      <c r="Y700" t="s">
        <v>71</v>
      </c>
      <c r="Z700" t="s">
        <v>74</v>
      </c>
    </row>
    <row r="701" spans="1:26" x14ac:dyDescent="0.2">
      <c r="A701" t="s">
        <v>1410</v>
      </c>
      <c r="B701" t="s">
        <v>654</v>
      </c>
      <c r="C701" t="s">
        <v>89</v>
      </c>
      <c r="D701" t="s">
        <v>239</v>
      </c>
      <c r="E701" t="s">
        <v>261</v>
      </c>
      <c r="F701" t="s">
        <v>64</v>
      </c>
      <c r="G701" t="s">
        <v>65</v>
      </c>
      <c r="H701" t="s">
        <v>66</v>
      </c>
      <c r="I701" t="s">
        <v>111</v>
      </c>
      <c r="J701" s="3">
        <v>43397</v>
      </c>
      <c r="K701">
        <v>7.2</v>
      </c>
      <c r="L701">
        <v>45</v>
      </c>
      <c r="M701" s="4">
        <v>8000</v>
      </c>
      <c r="N701" s="4">
        <v>118188</v>
      </c>
      <c r="O701" t="s">
        <v>68</v>
      </c>
      <c r="P701" t="s">
        <v>69</v>
      </c>
      <c r="Q701">
        <v>4</v>
      </c>
      <c r="R701">
        <v>77</v>
      </c>
      <c r="S701">
        <v>31</v>
      </c>
      <c r="T701" t="s">
        <v>69</v>
      </c>
      <c r="U701">
        <v>7</v>
      </c>
      <c r="V701">
        <v>31</v>
      </c>
      <c r="W701" t="s">
        <v>70</v>
      </c>
      <c r="X701" t="s">
        <v>69</v>
      </c>
      <c r="Y701" t="s">
        <v>71</v>
      </c>
      <c r="Z701" t="s">
        <v>89</v>
      </c>
    </row>
    <row r="702" spans="1:26" x14ac:dyDescent="0.2">
      <c r="A702" t="s">
        <v>1411</v>
      </c>
      <c r="B702" t="s">
        <v>426</v>
      </c>
      <c r="C702" t="s">
        <v>102</v>
      </c>
      <c r="D702" t="s">
        <v>183</v>
      </c>
      <c r="E702" t="s">
        <v>1020</v>
      </c>
      <c r="F702" t="s">
        <v>64</v>
      </c>
      <c r="G702" t="s">
        <v>65</v>
      </c>
      <c r="H702" t="s">
        <v>78</v>
      </c>
      <c r="I702" t="s">
        <v>236</v>
      </c>
      <c r="J702" s="3">
        <v>43909</v>
      </c>
      <c r="K702">
        <v>5.8</v>
      </c>
      <c r="L702">
        <v>51</v>
      </c>
      <c r="M702" s="4">
        <v>6200</v>
      </c>
      <c r="N702" s="4">
        <v>94588</v>
      </c>
      <c r="O702" t="s">
        <v>68</v>
      </c>
      <c r="P702" t="s">
        <v>69</v>
      </c>
      <c r="Q702">
        <v>3.55</v>
      </c>
      <c r="R702">
        <v>69</v>
      </c>
      <c r="S702">
        <v>25</v>
      </c>
      <c r="T702" t="s">
        <v>69</v>
      </c>
      <c r="U702">
        <v>6</v>
      </c>
      <c r="V702">
        <v>12</v>
      </c>
      <c r="W702" t="s">
        <v>70</v>
      </c>
      <c r="X702" t="s">
        <v>69</v>
      </c>
      <c r="Y702" t="s">
        <v>71</v>
      </c>
      <c r="Z702" t="s">
        <v>102</v>
      </c>
    </row>
    <row r="703" spans="1:26" x14ac:dyDescent="0.2">
      <c r="A703" t="s">
        <v>1412</v>
      </c>
      <c r="B703" t="s">
        <v>1413</v>
      </c>
      <c r="C703" t="s">
        <v>89</v>
      </c>
      <c r="D703" t="s">
        <v>239</v>
      </c>
      <c r="E703" t="s">
        <v>384</v>
      </c>
      <c r="F703" t="s">
        <v>136</v>
      </c>
      <c r="G703" t="s">
        <v>65</v>
      </c>
      <c r="H703" t="s">
        <v>66</v>
      </c>
      <c r="I703" t="s">
        <v>99</v>
      </c>
      <c r="J703" s="3">
        <v>45786</v>
      </c>
      <c r="K703">
        <v>0.6</v>
      </c>
      <c r="L703">
        <v>52</v>
      </c>
      <c r="M703" s="4">
        <v>15800</v>
      </c>
      <c r="N703" s="4">
        <v>235917</v>
      </c>
      <c r="O703" t="s">
        <v>68</v>
      </c>
      <c r="P703" t="s">
        <v>69</v>
      </c>
      <c r="Q703">
        <v>3.13</v>
      </c>
      <c r="R703">
        <v>55</v>
      </c>
      <c r="S703">
        <v>36</v>
      </c>
      <c r="T703" t="s">
        <v>69</v>
      </c>
      <c r="U703">
        <v>3</v>
      </c>
      <c r="V703">
        <v>31</v>
      </c>
      <c r="W703" t="s">
        <v>70</v>
      </c>
      <c r="X703" t="s">
        <v>68</v>
      </c>
      <c r="Y703" t="s">
        <v>86</v>
      </c>
      <c r="Z703" t="s">
        <v>89</v>
      </c>
    </row>
    <row r="704" spans="1:26" x14ac:dyDescent="0.2">
      <c r="A704" t="s">
        <v>1414</v>
      </c>
      <c r="B704" t="s">
        <v>824</v>
      </c>
      <c r="C704" t="s">
        <v>61</v>
      </c>
      <c r="D704" t="s">
        <v>604</v>
      </c>
      <c r="E704" t="s">
        <v>836</v>
      </c>
      <c r="F704" t="s">
        <v>174</v>
      </c>
      <c r="G704" t="s">
        <v>65</v>
      </c>
      <c r="H704" t="s">
        <v>78</v>
      </c>
      <c r="I704" t="s">
        <v>115</v>
      </c>
      <c r="J704" s="3">
        <v>45828</v>
      </c>
      <c r="K704">
        <v>0.5</v>
      </c>
      <c r="L704">
        <v>42</v>
      </c>
      <c r="M704" s="4">
        <v>31800</v>
      </c>
      <c r="N704" s="4">
        <v>480257</v>
      </c>
      <c r="O704" t="s">
        <v>69</v>
      </c>
      <c r="P704" t="s">
        <v>68</v>
      </c>
      <c r="Q704">
        <v>2.95</v>
      </c>
      <c r="R704">
        <v>60</v>
      </c>
      <c r="S704">
        <v>41</v>
      </c>
      <c r="T704" t="s">
        <v>69</v>
      </c>
      <c r="U704">
        <v>0</v>
      </c>
      <c r="V704">
        <v>21</v>
      </c>
      <c r="W704" t="s">
        <v>68</v>
      </c>
      <c r="X704" t="s">
        <v>68</v>
      </c>
      <c r="Y704" t="s">
        <v>71</v>
      </c>
      <c r="Z704" t="s">
        <v>61</v>
      </c>
    </row>
    <row r="705" spans="1:26" x14ac:dyDescent="0.2">
      <c r="A705" t="s">
        <v>1415</v>
      </c>
      <c r="B705" t="s">
        <v>670</v>
      </c>
      <c r="C705" t="s">
        <v>74</v>
      </c>
      <c r="D705" t="s">
        <v>313</v>
      </c>
      <c r="E705" t="s">
        <v>427</v>
      </c>
      <c r="F705" t="s">
        <v>77</v>
      </c>
      <c r="G705" t="s">
        <v>65</v>
      </c>
      <c r="H705" t="s">
        <v>66</v>
      </c>
      <c r="I705" t="s">
        <v>79</v>
      </c>
      <c r="J705" s="3">
        <v>43605</v>
      </c>
      <c r="K705">
        <v>6.6</v>
      </c>
      <c r="L705">
        <v>31</v>
      </c>
      <c r="M705" s="4">
        <v>10600</v>
      </c>
      <c r="N705" s="4">
        <v>150310</v>
      </c>
      <c r="O705" t="s">
        <v>68</v>
      </c>
      <c r="P705" t="s">
        <v>68</v>
      </c>
      <c r="Q705">
        <v>2.66</v>
      </c>
      <c r="R705">
        <v>55</v>
      </c>
      <c r="S705">
        <v>22</v>
      </c>
      <c r="T705" t="s">
        <v>69</v>
      </c>
      <c r="U705">
        <v>9</v>
      </c>
      <c r="V705">
        <v>21</v>
      </c>
      <c r="W705" t="s">
        <v>70</v>
      </c>
      <c r="X705" t="s">
        <v>68</v>
      </c>
      <c r="Y705" t="s">
        <v>71</v>
      </c>
      <c r="Z705" t="s">
        <v>74</v>
      </c>
    </row>
    <row r="706" spans="1:26" x14ac:dyDescent="0.2">
      <c r="A706" t="s">
        <v>1416</v>
      </c>
      <c r="B706" t="s">
        <v>590</v>
      </c>
      <c r="C706" t="s">
        <v>12</v>
      </c>
      <c r="D706" t="s">
        <v>82</v>
      </c>
      <c r="E706" t="s">
        <v>982</v>
      </c>
      <c r="F706" t="s">
        <v>120</v>
      </c>
      <c r="G706" t="s">
        <v>85</v>
      </c>
      <c r="H706" t="s">
        <v>66</v>
      </c>
      <c r="I706" t="s">
        <v>111</v>
      </c>
      <c r="J706" s="3">
        <v>42490</v>
      </c>
      <c r="K706">
        <v>9.6999999999999993</v>
      </c>
      <c r="L706">
        <v>33</v>
      </c>
      <c r="M706" s="4">
        <v>8600</v>
      </c>
      <c r="N706" s="4">
        <v>141557</v>
      </c>
      <c r="O706" t="s">
        <v>68</v>
      </c>
      <c r="P706" t="s">
        <v>68</v>
      </c>
      <c r="Q706">
        <v>3.06</v>
      </c>
      <c r="R706">
        <v>65</v>
      </c>
      <c r="S706">
        <v>21</v>
      </c>
      <c r="T706" t="s">
        <v>69</v>
      </c>
      <c r="U706">
        <v>0</v>
      </c>
      <c r="V706">
        <v>26</v>
      </c>
      <c r="W706" t="s">
        <v>70</v>
      </c>
      <c r="X706" t="s">
        <v>68</v>
      </c>
      <c r="Y706" t="s">
        <v>71</v>
      </c>
      <c r="Z706" t="s">
        <v>12</v>
      </c>
    </row>
    <row r="707" spans="1:26" x14ac:dyDescent="0.2">
      <c r="A707" t="s">
        <v>1417</v>
      </c>
      <c r="B707" t="s">
        <v>933</v>
      </c>
      <c r="C707" t="s">
        <v>143</v>
      </c>
      <c r="D707" t="s">
        <v>158</v>
      </c>
      <c r="E707" t="s">
        <v>1118</v>
      </c>
      <c r="F707" t="s">
        <v>191</v>
      </c>
      <c r="G707" t="s">
        <v>85</v>
      </c>
      <c r="H707" t="s">
        <v>66</v>
      </c>
      <c r="I707" t="s">
        <v>99</v>
      </c>
      <c r="J707" s="3">
        <v>41778</v>
      </c>
      <c r="K707">
        <v>11.6</v>
      </c>
      <c r="L707">
        <v>43</v>
      </c>
      <c r="M707" s="4">
        <v>42200</v>
      </c>
      <c r="N707" s="4">
        <v>630568</v>
      </c>
      <c r="O707" t="s">
        <v>69</v>
      </c>
      <c r="P707" t="s">
        <v>69</v>
      </c>
      <c r="Q707">
        <v>3.6</v>
      </c>
      <c r="R707">
        <v>82</v>
      </c>
      <c r="S707">
        <v>47</v>
      </c>
      <c r="T707" t="s">
        <v>68</v>
      </c>
      <c r="U707">
        <v>3</v>
      </c>
      <c r="V707">
        <v>16</v>
      </c>
      <c r="W707" t="s">
        <v>68</v>
      </c>
      <c r="X707" t="s">
        <v>69</v>
      </c>
      <c r="Y707" t="s">
        <v>71</v>
      </c>
      <c r="Z707" t="s">
        <v>143</v>
      </c>
    </row>
    <row r="708" spans="1:26" x14ac:dyDescent="0.2">
      <c r="A708" t="s">
        <v>1418</v>
      </c>
      <c r="B708" t="s">
        <v>225</v>
      </c>
      <c r="C708" t="s">
        <v>61</v>
      </c>
      <c r="D708" t="s">
        <v>604</v>
      </c>
      <c r="E708" t="s">
        <v>1419</v>
      </c>
      <c r="F708" t="s">
        <v>84</v>
      </c>
      <c r="G708" t="s">
        <v>85</v>
      </c>
      <c r="H708" t="s">
        <v>78</v>
      </c>
      <c r="I708" t="s">
        <v>148</v>
      </c>
      <c r="J708" s="3">
        <v>41417</v>
      </c>
      <c r="K708">
        <v>12.6</v>
      </c>
      <c r="L708">
        <v>24</v>
      </c>
      <c r="M708" s="4">
        <v>21600</v>
      </c>
      <c r="N708" s="4">
        <v>356687</v>
      </c>
      <c r="O708" t="s">
        <v>69</v>
      </c>
      <c r="P708" t="s">
        <v>68</v>
      </c>
      <c r="Q708">
        <v>2.71</v>
      </c>
      <c r="R708">
        <v>59</v>
      </c>
      <c r="S708">
        <v>37</v>
      </c>
      <c r="T708" t="s">
        <v>69</v>
      </c>
      <c r="U708">
        <v>3</v>
      </c>
      <c r="V708">
        <v>0</v>
      </c>
      <c r="W708" t="s">
        <v>68</v>
      </c>
      <c r="X708" t="s">
        <v>68</v>
      </c>
      <c r="Y708" t="s">
        <v>71</v>
      </c>
      <c r="Z708" t="s">
        <v>61</v>
      </c>
    </row>
    <row r="709" spans="1:26" x14ac:dyDescent="0.2">
      <c r="A709" t="s">
        <v>1420</v>
      </c>
      <c r="B709" t="s">
        <v>157</v>
      </c>
      <c r="C709" t="s">
        <v>108</v>
      </c>
      <c r="D709" t="s">
        <v>109</v>
      </c>
      <c r="E709" t="s">
        <v>355</v>
      </c>
      <c r="F709" t="s">
        <v>77</v>
      </c>
      <c r="G709" t="s">
        <v>65</v>
      </c>
      <c r="H709" t="s">
        <v>66</v>
      </c>
      <c r="I709" t="s">
        <v>99</v>
      </c>
      <c r="J709" s="3">
        <v>43723</v>
      </c>
      <c r="K709">
        <v>6.3</v>
      </c>
      <c r="L709">
        <v>54</v>
      </c>
      <c r="M709" s="4">
        <v>10900</v>
      </c>
      <c r="N709" s="4">
        <v>177962</v>
      </c>
      <c r="O709" t="s">
        <v>68</v>
      </c>
      <c r="P709" t="s">
        <v>69</v>
      </c>
      <c r="Q709">
        <v>3.1</v>
      </c>
      <c r="R709">
        <v>68</v>
      </c>
      <c r="S709">
        <v>46</v>
      </c>
      <c r="T709" t="s">
        <v>69</v>
      </c>
      <c r="U709">
        <v>2</v>
      </c>
      <c r="V709">
        <v>31</v>
      </c>
      <c r="W709" t="s">
        <v>70</v>
      </c>
      <c r="X709" t="s">
        <v>68</v>
      </c>
      <c r="Y709" t="s">
        <v>71</v>
      </c>
      <c r="Z709" t="s">
        <v>108</v>
      </c>
    </row>
    <row r="710" spans="1:26" x14ac:dyDescent="0.2">
      <c r="A710" t="s">
        <v>1421</v>
      </c>
      <c r="B710" t="s">
        <v>685</v>
      </c>
      <c r="C710" t="s">
        <v>89</v>
      </c>
      <c r="D710" t="s">
        <v>154</v>
      </c>
      <c r="E710" t="s">
        <v>650</v>
      </c>
      <c r="F710" t="s">
        <v>77</v>
      </c>
      <c r="G710" t="s">
        <v>65</v>
      </c>
      <c r="H710" t="s">
        <v>66</v>
      </c>
      <c r="I710" t="s">
        <v>148</v>
      </c>
      <c r="J710" s="3">
        <v>44886</v>
      </c>
      <c r="K710">
        <v>3.1</v>
      </c>
      <c r="L710">
        <v>22</v>
      </c>
      <c r="M710" s="4">
        <v>10800</v>
      </c>
      <c r="N710" s="4">
        <v>175284</v>
      </c>
      <c r="O710" t="s">
        <v>68</v>
      </c>
      <c r="P710" t="s">
        <v>69</v>
      </c>
      <c r="Q710">
        <v>3.47</v>
      </c>
      <c r="R710">
        <v>53</v>
      </c>
      <c r="S710">
        <v>22</v>
      </c>
      <c r="T710" t="s">
        <v>69</v>
      </c>
      <c r="U710">
        <v>0</v>
      </c>
      <c r="V710">
        <v>24</v>
      </c>
      <c r="W710" t="s">
        <v>70</v>
      </c>
      <c r="X710" t="s">
        <v>68</v>
      </c>
      <c r="Y710" t="s">
        <v>86</v>
      </c>
      <c r="Z710" t="s">
        <v>89</v>
      </c>
    </row>
    <row r="711" spans="1:26" x14ac:dyDescent="0.2">
      <c r="A711" t="s">
        <v>1422</v>
      </c>
      <c r="B711" t="s">
        <v>107</v>
      </c>
      <c r="C711" t="s">
        <v>74</v>
      </c>
      <c r="D711" t="s">
        <v>139</v>
      </c>
      <c r="E711" t="s">
        <v>197</v>
      </c>
      <c r="F711" t="s">
        <v>120</v>
      </c>
      <c r="G711" t="s">
        <v>85</v>
      </c>
      <c r="H711" t="s">
        <v>78</v>
      </c>
      <c r="I711" t="s">
        <v>148</v>
      </c>
      <c r="J711" s="3">
        <v>43578</v>
      </c>
      <c r="K711">
        <v>6.7</v>
      </c>
      <c r="L711">
        <v>50</v>
      </c>
      <c r="M711" s="4">
        <v>8500</v>
      </c>
      <c r="N711" s="4">
        <v>128164</v>
      </c>
      <c r="O711" t="s">
        <v>68</v>
      </c>
      <c r="P711" t="s">
        <v>68</v>
      </c>
      <c r="Q711">
        <v>3.33</v>
      </c>
      <c r="R711">
        <v>58</v>
      </c>
      <c r="S711">
        <v>31</v>
      </c>
      <c r="T711" t="s">
        <v>69</v>
      </c>
      <c r="U711">
        <v>3</v>
      </c>
      <c r="V711">
        <v>3</v>
      </c>
      <c r="W711" t="s">
        <v>70</v>
      </c>
      <c r="X711" t="s">
        <v>68</v>
      </c>
      <c r="Y711" t="s">
        <v>71</v>
      </c>
      <c r="Z711" t="s">
        <v>74</v>
      </c>
    </row>
    <row r="712" spans="1:26" x14ac:dyDescent="0.2">
      <c r="A712" t="s">
        <v>1423</v>
      </c>
      <c r="B712" t="s">
        <v>998</v>
      </c>
      <c r="C712" t="s">
        <v>143</v>
      </c>
      <c r="D712" t="s">
        <v>144</v>
      </c>
      <c r="E712" t="s">
        <v>787</v>
      </c>
      <c r="F712" t="s">
        <v>136</v>
      </c>
      <c r="G712" t="s">
        <v>65</v>
      </c>
      <c r="H712" t="s">
        <v>66</v>
      </c>
      <c r="I712" t="s">
        <v>105</v>
      </c>
      <c r="J712" s="3">
        <v>45847</v>
      </c>
      <c r="K712">
        <v>0.5</v>
      </c>
      <c r="L712">
        <v>22</v>
      </c>
      <c r="M712" s="4">
        <v>12600</v>
      </c>
      <c r="N712" s="4">
        <v>189248</v>
      </c>
      <c r="O712" t="s">
        <v>68</v>
      </c>
      <c r="P712" t="s">
        <v>69</v>
      </c>
      <c r="Q712">
        <v>3.35</v>
      </c>
      <c r="R712">
        <v>55</v>
      </c>
      <c r="S712">
        <v>37</v>
      </c>
      <c r="T712" t="s">
        <v>69</v>
      </c>
      <c r="U712">
        <v>10</v>
      </c>
      <c r="V712">
        <v>54</v>
      </c>
      <c r="W712" t="s">
        <v>70</v>
      </c>
      <c r="X712" t="s">
        <v>68</v>
      </c>
      <c r="Y712" t="s">
        <v>86</v>
      </c>
      <c r="Z712" t="s">
        <v>143</v>
      </c>
    </row>
    <row r="713" spans="1:26" x14ac:dyDescent="0.2">
      <c r="A713" t="s">
        <v>1424</v>
      </c>
      <c r="B713" t="s">
        <v>169</v>
      </c>
      <c r="C713" t="s">
        <v>74</v>
      </c>
      <c r="D713" t="s">
        <v>118</v>
      </c>
      <c r="E713" t="s">
        <v>119</v>
      </c>
      <c r="F713" t="s">
        <v>120</v>
      </c>
      <c r="G713" t="s">
        <v>65</v>
      </c>
      <c r="H713" t="s">
        <v>66</v>
      </c>
      <c r="I713" t="s">
        <v>111</v>
      </c>
      <c r="J713" s="3">
        <v>44382</v>
      </c>
      <c r="K713">
        <v>4.5</v>
      </c>
      <c r="L713">
        <v>24</v>
      </c>
      <c r="M713" s="4">
        <v>9800</v>
      </c>
      <c r="N713" s="4">
        <v>160488</v>
      </c>
      <c r="O713" t="s">
        <v>68</v>
      </c>
      <c r="P713" t="s">
        <v>68</v>
      </c>
      <c r="Q713">
        <v>3.09</v>
      </c>
      <c r="R713">
        <v>58</v>
      </c>
      <c r="S713">
        <v>27</v>
      </c>
      <c r="T713" t="s">
        <v>69</v>
      </c>
      <c r="U713">
        <v>1</v>
      </c>
      <c r="V713">
        <v>12</v>
      </c>
      <c r="W713" t="s">
        <v>70</v>
      </c>
      <c r="X713" t="s">
        <v>68</v>
      </c>
      <c r="Y713" t="s">
        <v>71</v>
      </c>
      <c r="Z713" t="s">
        <v>74</v>
      </c>
    </row>
    <row r="714" spans="1:26" x14ac:dyDescent="0.2">
      <c r="A714" t="s">
        <v>1425</v>
      </c>
      <c r="B714" t="s">
        <v>936</v>
      </c>
      <c r="C714" t="s">
        <v>74</v>
      </c>
      <c r="D714" t="s">
        <v>75</v>
      </c>
      <c r="E714" t="s">
        <v>76</v>
      </c>
      <c r="F714" t="s">
        <v>77</v>
      </c>
      <c r="G714" t="s">
        <v>65</v>
      </c>
      <c r="H714" t="s">
        <v>78</v>
      </c>
      <c r="I714" t="s">
        <v>554</v>
      </c>
      <c r="J714" s="3">
        <v>42864</v>
      </c>
      <c r="K714">
        <v>8.6999999999999993</v>
      </c>
      <c r="L714">
        <v>38</v>
      </c>
      <c r="M714" s="4">
        <v>8700</v>
      </c>
      <c r="N714" s="4">
        <v>129704</v>
      </c>
      <c r="O714" t="s">
        <v>68</v>
      </c>
      <c r="P714" t="s">
        <v>68</v>
      </c>
      <c r="Q714">
        <v>3.73</v>
      </c>
      <c r="R714">
        <v>75</v>
      </c>
      <c r="S714">
        <v>6</v>
      </c>
      <c r="T714" t="s">
        <v>69</v>
      </c>
      <c r="U714">
        <v>11</v>
      </c>
      <c r="V714">
        <v>18</v>
      </c>
      <c r="W714" t="s">
        <v>70</v>
      </c>
      <c r="X714" t="s">
        <v>69</v>
      </c>
      <c r="Y714" t="s">
        <v>71</v>
      </c>
      <c r="Z714" t="s">
        <v>74</v>
      </c>
    </row>
    <row r="715" spans="1:26" x14ac:dyDescent="0.2">
      <c r="A715" t="s">
        <v>1426</v>
      </c>
      <c r="B715" t="s">
        <v>779</v>
      </c>
      <c r="C715" t="s">
        <v>124</v>
      </c>
      <c r="D715" t="s">
        <v>125</v>
      </c>
      <c r="E715" t="s">
        <v>330</v>
      </c>
      <c r="F715" t="s">
        <v>120</v>
      </c>
      <c r="G715" t="s">
        <v>65</v>
      </c>
      <c r="H715" t="s">
        <v>78</v>
      </c>
      <c r="I715" t="s">
        <v>99</v>
      </c>
      <c r="J715" s="3">
        <v>42495</v>
      </c>
      <c r="K715">
        <v>9.6999999999999993</v>
      </c>
      <c r="L715">
        <v>36</v>
      </c>
      <c r="M715" s="4">
        <v>7200</v>
      </c>
      <c r="N715" s="4">
        <v>115231</v>
      </c>
      <c r="O715" t="s">
        <v>68</v>
      </c>
      <c r="P715" t="s">
        <v>68</v>
      </c>
      <c r="Q715">
        <v>2.69</v>
      </c>
      <c r="R715">
        <v>70</v>
      </c>
      <c r="S715">
        <v>45</v>
      </c>
      <c r="T715" t="s">
        <v>68</v>
      </c>
      <c r="U715">
        <v>7</v>
      </c>
      <c r="V715">
        <v>0</v>
      </c>
      <c r="W715" t="s">
        <v>70</v>
      </c>
      <c r="X715" t="s">
        <v>68</v>
      </c>
      <c r="Y715" t="s">
        <v>71</v>
      </c>
      <c r="Z715" t="s">
        <v>124</v>
      </c>
    </row>
    <row r="716" spans="1:26" x14ac:dyDescent="0.2">
      <c r="A716" t="s">
        <v>1427</v>
      </c>
      <c r="B716" t="s">
        <v>676</v>
      </c>
      <c r="C716" t="s">
        <v>74</v>
      </c>
      <c r="D716" t="s">
        <v>118</v>
      </c>
      <c r="E716" t="s">
        <v>511</v>
      </c>
      <c r="F716" t="s">
        <v>77</v>
      </c>
      <c r="G716" t="s">
        <v>65</v>
      </c>
      <c r="H716" t="s">
        <v>66</v>
      </c>
      <c r="I716" t="s">
        <v>67</v>
      </c>
      <c r="J716" s="3">
        <v>44201</v>
      </c>
      <c r="K716">
        <v>5</v>
      </c>
      <c r="L716">
        <v>40</v>
      </c>
      <c r="M716" s="4">
        <v>10000</v>
      </c>
      <c r="N716" s="4">
        <v>157626</v>
      </c>
      <c r="O716" t="s">
        <v>69</v>
      </c>
      <c r="P716" t="s">
        <v>68</v>
      </c>
      <c r="Q716">
        <v>3.48</v>
      </c>
      <c r="R716">
        <v>66</v>
      </c>
      <c r="S716">
        <v>31</v>
      </c>
      <c r="T716" t="s">
        <v>69</v>
      </c>
      <c r="U716">
        <v>5</v>
      </c>
      <c r="V716">
        <v>24</v>
      </c>
      <c r="W716" t="s">
        <v>69</v>
      </c>
      <c r="X716" t="s">
        <v>68</v>
      </c>
      <c r="Y716" t="s">
        <v>71</v>
      </c>
      <c r="Z716" t="s">
        <v>74</v>
      </c>
    </row>
    <row r="717" spans="1:26" x14ac:dyDescent="0.2">
      <c r="A717" t="s">
        <v>1428</v>
      </c>
      <c r="B717" t="s">
        <v>654</v>
      </c>
      <c r="C717" t="s">
        <v>108</v>
      </c>
      <c r="D717" t="s">
        <v>194</v>
      </c>
      <c r="E717" t="s">
        <v>296</v>
      </c>
      <c r="F717" t="s">
        <v>120</v>
      </c>
      <c r="G717" t="s">
        <v>65</v>
      </c>
      <c r="H717" t="s">
        <v>78</v>
      </c>
      <c r="I717" t="s">
        <v>111</v>
      </c>
      <c r="J717" s="3">
        <v>44746</v>
      </c>
      <c r="K717">
        <v>3.5</v>
      </c>
      <c r="L717">
        <v>38</v>
      </c>
      <c r="M717" s="4">
        <v>8200</v>
      </c>
      <c r="N717" s="4">
        <v>127928</v>
      </c>
      <c r="O717" t="s">
        <v>68</v>
      </c>
      <c r="P717" t="s">
        <v>69</v>
      </c>
      <c r="Q717">
        <v>2.86</v>
      </c>
      <c r="R717">
        <v>68</v>
      </c>
      <c r="S717">
        <v>13</v>
      </c>
      <c r="T717" t="s">
        <v>69</v>
      </c>
      <c r="U717">
        <v>9</v>
      </c>
      <c r="V717">
        <v>22</v>
      </c>
      <c r="W717" t="s">
        <v>70</v>
      </c>
      <c r="X717" t="s">
        <v>68</v>
      </c>
      <c r="Y717" t="s">
        <v>71</v>
      </c>
      <c r="Z717" t="s">
        <v>108</v>
      </c>
    </row>
    <row r="718" spans="1:26" x14ac:dyDescent="0.2">
      <c r="A718" t="s">
        <v>1429</v>
      </c>
      <c r="B718" t="s">
        <v>1430</v>
      </c>
      <c r="C718" t="s">
        <v>102</v>
      </c>
      <c r="D718" t="s">
        <v>183</v>
      </c>
      <c r="E718" t="s">
        <v>635</v>
      </c>
      <c r="F718" t="s">
        <v>84</v>
      </c>
      <c r="G718" t="s">
        <v>65</v>
      </c>
      <c r="H718" t="s">
        <v>66</v>
      </c>
      <c r="I718" t="s">
        <v>67</v>
      </c>
      <c r="J718" s="3">
        <v>43014</v>
      </c>
      <c r="K718">
        <v>8.1999999999999993</v>
      </c>
      <c r="L718">
        <v>41</v>
      </c>
      <c r="M718" s="4">
        <v>19900</v>
      </c>
      <c r="N718" s="4">
        <v>324746</v>
      </c>
      <c r="O718" t="s">
        <v>69</v>
      </c>
      <c r="P718" t="s">
        <v>69</v>
      </c>
      <c r="Q718">
        <v>3.74</v>
      </c>
      <c r="R718">
        <v>71</v>
      </c>
      <c r="S718">
        <v>34</v>
      </c>
      <c r="T718" t="s">
        <v>69</v>
      </c>
      <c r="U718">
        <v>9</v>
      </c>
      <c r="V718">
        <v>55</v>
      </c>
      <c r="W718" t="s">
        <v>69</v>
      </c>
      <c r="X718" t="s">
        <v>69</v>
      </c>
      <c r="Y718" t="s">
        <v>71</v>
      </c>
      <c r="Z718" t="s">
        <v>102</v>
      </c>
    </row>
    <row r="719" spans="1:26" x14ac:dyDescent="0.2">
      <c r="A719" t="s">
        <v>1431</v>
      </c>
      <c r="B719" t="s">
        <v>1203</v>
      </c>
      <c r="C719" t="s">
        <v>96</v>
      </c>
      <c r="D719" t="s">
        <v>234</v>
      </c>
      <c r="E719" t="s">
        <v>408</v>
      </c>
      <c r="F719" t="s">
        <v>120</v>
      </c>
      <c r="G719" t="s">
        <v>215</v>
      </c>
      <c r="H719" t="s">
        <v>66</v>
      </c>
      <c r="I719" t="s">
        <v>99</v>
      </c>
      <c r="J719" s="3">
        <v>42560</v>
      </c>
      <c r="K719">
        <v>9.5</v>
      </c>
      <c r="L719">
        <v>41</v>
      </c>
      <c r="M719" s="4">
        <v>9000</v>
      </c>
      <c r="N719" s="4">
        <v>147720</v>
      </c>
      <c r="O719" t="s">
        <v>68</v>
      </c>
      <c r="P719" t="s">
        <v>69</v>
      </c>
      <c r="Q719">
        <v>1.71</v>
      </c>
      <c r="R719">
        <v>58</v>
      </c>
      <c r="S719">
        <v>40</v>
      </c>
      <c r="T719" t="s">
        <v>69</v>
      </c>
      <c r="U719">
        <v>3</v>
      </c>
      <c r="V719">
        <v>18</v>
      </c>
      <c r="W719" t="s">
        <v>70</v>
      </c>
      <c r="X719" t="s">
        <v>68</v>
      </c>
      <c r="Y719" t="s">
        <v>71</v>
      </c>
      <c r="Z719" t="s">
        <v>96</v>
      </c>
    </row>
    <row r="720" spans="1:26" x14ac:dyDescent="0.2">
      <c r="A720" t="s">
        <v>1432</v>
      </c>
      <c r="B720" t="s">
        <v>1348</v>
      </c>
      <c r="C720" t="s">
        <v>108</v>
      </c>
      <c r="D720" t="s">
        <v>194</v>
      </c>
      <c r="E720" t="s">
        <v>195</v>
      </c>
      <c r="F720" t="s">
        <v>64</v>
      </c>
      <c r="G720" t="s">
        <v>65</v>
      </c>
      <c r="H720" t="s">
        <v>66</v>
      </c>
      <c r="I720" t="s">
        <v>111</v>
      </c>
      <c r="J720" s="3">
        <v>45666</v>
      </c>
      <c r="K720">
        <v>1</v>
      </c>
      <c r="L720">
        <v>26</v>
      </c>
      <c r="M720" s="4">
        <v>6100</v>
      </c>
      <c r="N720" s="4">
        <v>87933</v>
      </c>
      <c r="O720" t="s">
        <v>68</v>
      </c>
      <c r="P720" t="s">
        <v>69</v>
      </c>
      <c r="Q720">
        <v>3.08</v>
      </c>
      <c r="R720">
        <v>60</v>
      </c>
      <c r="S720">
        <v>28</v>
      </c>
      <c r="T720" t="s">
        <v>69</v>
      </c>
      <c r="U720">
        <v>0</v>
      </c>
      <c r="V720">
        <v>13</v>
      </c>
      <c r="W720" t="s">
        <v>70</v>
      </c>
      <c r="X720" t="s">
        <v>68</v>
      </c>
      <c r="Y720" t="s">
        <v>86</v>
      </c>
      <c r="Z720" t="s">
        <v>108</v>
      </c>
    </row>
    <row r="721" spans="1:26" x14ac:dyDescent="0.2">
      <c r="A721" t="s">
        <v>1433</v>
      </c>
      <c r="B721" t="s">
        <v>1434</v>
      </c>
      <c r="C721" t="s">
        <v>74</v>
      </c>
      <c r="D721" t="s">
        <v>139</v>
      </c>
      <c r="E721" t="s">
        <v>1334</v>
      </c>
      <c r="F721" t="s">
        <v>191</v>
      </c>
      <c r="G721" t="s">
        <v>65</v>
      </c>
      <c r="H721" t="s">
        <v>78</v>
      </c>
      <c r="I721" t="s">
        <v>455</v>
      </c>
      <c r="J721" s="3">
        <v>41664</v>
      </c>
      <c r="K721">
        <v>11.9</v>
      </c>
      <c r="L721">
        <v>40</v>
      </c>
      <c r="M721" s="4">
        <v>34200</v>
      </c>
      <c r="N721" s="4">
        <v>535073</v>
      </c>
      <c r="O721" t="s">
        <v>69</v>
      </c>
      <c r="P721" t="s">
        <v>68</v>
      </c>
      <c r="Q721">
        <v>3.72</v>
      </c>
      <c r="R721">
        <v>53</v>
      </c>
      <c r="S721">
        <v>15</v>
      </c>
      <c r="T721" t="s">
        <v>68</v>
      </c>
      <c r="U721">
        <v>10</v>
      </c>
      <c r="V721">
        <v>35</v>
      </c>
      <c r="W721" t="s">
        <v>68</v>
      </c>
      <c r="X721" t="s">
        <v>69</v>
      </c>
      <c r="Y721" t="s">
        <v>86</v>
      </c>
      <c r="Z721" t="s">
        <v>74</v>
      </c>
    </row>
    <row r="722" spans="1:26" x14ac:dyDescent="0.2">
      <c r="A722" t="s">
        <v>1435</v>
      </c>
      <c r="B722" t="s">
        <v>1278</v>
      </c>
      <c r="C722" t="s">
        <v>12</v>
      </c>
      <c r="D722" t="s">
        <v>421</v>
      </c>
      <c r="E722" t="s">
        <v>1338</v>
      </c>
      <c r="F722" t="s">
        <v>84</v>
      </c>
      <c r="G722" t="s">
        <v>65</v>
      </c>
      <c r="H722" t="s">
        <v>66</v>
      </c>
      <c r="I722" t="s">
        <v>99</v>
      </c>
      <c r="J722" s="3">
        <v>43277</v>
      </c>
      <c r="K722">
        <v>7.5</v>
      </c>
      <c r="L722">
        <v>43</v>
      </c>
      <c r="M722" s="4">
        <v>17100</v>
      </c>
      <c r="N722" s="4">
        <v>246856</v>
      </c>
      <c r="O722" t="s">
        <v>69</v>
      </c>
      <c r="P722" t="s">
        <v>68</v>
      </c>
      <c r="Q722">
        <v>2.82</v>
      </c>
      <c r="R722">
        <v>64</v>
      </c>
      <c r="S722">
        <v>28</v>
      </c>
      <c r="T722" t="s">
        <v>69</v>
      </c>
      <c r="U722">
        <v>0</v>
      </c>
      <c r="V722">
        <v>9</v>
      </c>
      <c r="W722" t="s">
        <v>68</v>
      </c>
      <c r="X722" t="s">
        <v>68</v>
      </c>
      <c r="Y722" t="s">
        <v>71</v>
      </c>
      <c r="Z722" t="s">
        <v>12</v>
      </c>
    </row>
    <row r="723" spans="1:26" x14ac:dyDescent="0.2">
      <c r="A723" t="s">
        <v>1436</v>
      </c>
      <c r="B723" t="s">
        <v>242</v>
      </c>
      <c r="C723" t="s">
        <v>61</v>
      </c>
      <c r="D723" t="s">
        <v>62</v>
      </c>
      <c r="E723" t="s">
        <v>447</v>
      </c>
      <c r="F723" t="s">
        <v>136</v>
      </c>
      <c r="G723" t="s">
        <v>65</v>
      </c>
      <c r="H723" t="s">
        <v>66</v>
      </c>
      <c r="I723" t="s">
        <v>111</v>
      </c>
      <c r="J723" s="3">
        <v>45417</v>
      </c>
      <c r="K723">
        <v>1.7</v>
      </c>
      <c r="L723">
        <v>51</v>
      </c>
      <c r="M723" s="4">
        <v>16000</v>
      </c>
      <c r="N723" s="4">
        <v>231781</v>
      </c>
      <c r="O723" t="s">
        <v>68</v>
      </c>
      <c r="P723" t="s">
        <v>68</v>
      </c>
      <c r="Q723">
        <v>2.79</v>
      </c>
      <c r="R723">
        <v>73</v>
      </c>
      <c r="S723">
        <v>25</v>
      </c>
      <c r="T723" t="s">
        <v>69</v>
      </c>
      <c r="U723">
        <v>4</v>
      </c>
      <c r="V723">
        <v>41</v>
      </c>
      <c r="W723" t="s">
        <v>70</v>
      </c>
      <c r="X723" t="s">
        <v>68</v>
      </c>
      <c r="Y723" t="s">
        <v>71</v>
      </c>
      <c r="Z723" t="s">
        <v>61</v>
      </c>
    </row>
    <row r="724" spans="1:26" x14ac:dyDescent="0.2">
      <c r="A724" t="s">
        <v>1437</v>
      </c>
      <c r="B724" t="s">
        <v>1438</v>
      </c>
      <c r="C724" t="s">
        <v>89</v>
      </c>
      <c r="D724" t="s">
        <v>154</v>
      </c>
      <c r="E724" t="s">
        <v>887</v>
      </c>
      <c r="F724" t="s">
        <v>84</v>
      </c>
      <c r="G724" t="s">
        <v>227</v>
      </c>
      <c r="H724" t="s">
        <v>78</v>
      </c>
      <c r="I724" t="s">
        <v>93</v>
      </c>
      <c r="J724" s="3">
        <v>45210</v>
      </c>
      <c r="K724">
        <v>2.2000000000000002</v>
      </c>
      <c r="L724">
        <v>28</v>
      </c>
      <c r="M724" s="4">
        <v>23700</v>
      </c>
      <c r="N724" s="4">
        <v>390367</v>
      </c>
      <c r="O724" t="s">
        <v>69</v>
      </c>
      <c r="P724" t="s">
        <v>69</v>
      </c>
      <c r="Q724">
        <v>2.73</v>
      </c>
      <c r="R724">
        <v>53</v>
      </c>
      <c r="S724">
        <v>25</v>
      </c>
      <c r="T724" t="s">
        <v>69</v>
      </c>
      <c r="U724">
        <v>9</v>
      </c>
      <c r="V724">
        <v>51</v>
      </c>
      <c r="W724" t="s">
        <v>68</v>
      </c>
      <c r="X724" t="s">
        <v>68</v>
      </c>
      <c r="Y724" t="s">
        <v>86</v>
      </c>
      <c r="Z724" t="s">
        <v>89</v>
      </c>
    </row>
    <row r="725" spans="1:26" x14ac:dyDescent="0.2">
      <c r="A725" t="s">
        <v>1439</v>
      </c>
      <c r="B725" t="s">
        <v>176</v>
      </c>
      <c r="C725" t="s">
        <v>61</v>
      </c>
      <c r="D725" t="s">
        <v>62</v>
      </c>
      <c r="E725" t="s">
        <v>447</v>
      </c>
      <c r="F725" t="s">
        <v>136</v>
      </c>
      <c r="G725" t="s">
        <v>65</v>
      </c>
      <c r="H725" t="s">
        <v>66</v>
      </c>
      <c r="I725" t="s">
        <v>79</v>
      </c>
      <c r="J725" s="3">
        <v>43891</v>
      </c>
      <c r="K725">
        <v>5.8</v>
      </c>
      <c r="L725">
        <v>29</v>
      </c>
      <c r="M725" s="4">
        <v>15800</v>
      </c>
      <c r="N725" s="4">
        <v>249575</v>
      </c>
      <c r="O725" t="s">
        <v>68</v>
      </c>
      <c r="P725" t="s">
        <v>68</v>
      </c>
      <c r="Q725">
        <v>2.89</v>
      </c>
      <c r="R725">
        <v>56</v>
      </c>
      <c r="S725">
        <v>11</v>
      </c>
      <c r="T725" t="s">
        <v>69</v>
      </c>
      <c r="U725">
        <v>0</v>
      </c>
      <c r="V725">
        <v>0</v>
      </c>
      <c r="W725" t="s">
        <v>70</v>
      </c>
      <c r="X725" t="s">
        <v>68</v>
      </c>
      <c r="Y725" t="s">
        <v>71</v>
      </c>
      <c r="Z725" t="s">
        <v>61</v>
      </c>
    </row>
    <row r="726" spans="1:26" x14ac:dyDescent="0.2">
      <c r="A726" t="s">
        <v>1440</v>
      </c>
      <c r="B726" t="s">
        <v>273</v>
      </c>
      <c r="C726" t="s">
        <v>108</v>
      </c>
      <c r="D726" t="s">
        <v>222</v>
      </c>
      <c r="E726" t="s">
        <v>544</v>
      </c>
      <c r="F726" t="s">
        <v>136</v>
      </c>
      <c r="G726" t="s">
        <v>65</v>
      </c>
      <c r="H726" t="s">
        <v>66</v>
      </c>
      <c r="I726" t="s">
        <v>67</v>
      </c>
      <c r="J726" s="3">
        <v>44434</v>
      </c>
      <c r="K726">
        <v>4.4000000000000004</v>
      </c>
      <c r="L726">
        <v>42</v>
      </c>
      <c r="M726" s="4">
        <v>16100</v>
      </c>
      <c r="N726" s="4">
        <v>232368</v>
      </c>
      <c r="O726" t="s">
        <v>69</v>
      </c>
      <c r="P726" t="s">
        <v>69</v>
      </c>
      <c r="Q726">
        <v>2.4700000000000002</v>
      </c>
      <c r="R726">
        <v>53</v>
      </c>
      <c r="S726">
        <v>12</v>
      </c>
      <c r="T726" t="s">
        <v>68</v>
      </c>
      <c r="U726">
        <v>4</v>
      </c>
      <c r="V726">
        <v>43</v>
      </c>
      <c r="W726" t="s">
        <v>69</v>
      </c>
      <c r="X726" t="s">
        <v>68</v>
      </c>
      <c r="Y726" t="s">
        <v>86</v>
      </c>
      <c r="Z726" t="s">
        <v>108</v>
      </c>
    </row>
    <row r="727" spans="1:26" x14ac:dyDescent="0.2">
      <c r="A727" t="s">
        <v>1441</v>
      </c>
      <c r="B727" t="s">
        <v>701</v>
      </c>
      <c r="C727" t="s">
        <v>89</v>
      </c>
      <c r="D727" t="s">
        <v>90</v>
      </c>
      <c r="E727" t="s">
        <v>253</v>
      </c>
      <c r="F727" t="s">
        <v>64</v>
      </c>
      <c r="G727" t="s">
        <v>65</v>
      </c>
      <c r="H727" t="s">
        <v>78</v>
      </c>
      <c r="I727" t="s">
        <v>67</v>
      </c>
      <c r="J727" s="3">
        <v>44675</v>
      </c>
      <c r="K727">
        <v>3.7</v>
      </c>
      <c r="L727">
        <v>26</v>
      </c>
      <c r="M727" s="4">
        <v>5700</v>
      </c>
      <c r="N727" s="4">
        <v>89511</v>
      </c>
      <c r="O727" t="s">
        <v>68</v>
      </c>
      <c r="P727" t="s">
        <v>69</v>
      </c>
      <c r="Q727">
        <v>3.05</v>
      </c>
      <c r="R727">
        <v>48</v>
      </c>
      <c r="S727">
        <v>24</v>
      </c>
      <c r="T727" t="s">
        <v>68</v>
      </c>
      <c r="U727">
        <v>7</v>
      </c>
      <c r="V727">
        <v>41</v>
      </c>
      <c r="W727" t="s">
        <v>70</v>
      </c>
      <c r="X727" t="s">
        <v>68</v>
      </c>
      <c r="Y727" t="s">
        <v>86</v>
      </c>
      <c r="Z727" t="s">
        <v>89</v>
      </c>
    </row>
    <row r="728" spans="1:26" x14ac:dyDescent="0.2">
      <c r="A728" t="s">
        <v>1442</v>
      </c>
      <c r="B728" t="s">
        <v>268</v>
      </c>
      <c r="C728" t="s">
        <v>108</v>
      </c>
      <c r="D728" t="s">
        <v>194</v>
      </c>
      <c r="E728" t="s">
        <v>195</v>
      </c>
      <c r="F728" t="s">
        <v>64</v>
      </c>
      <c r="G728" t="s">
        <v>215</v>
      </c>
      <c r="H728" t="s">
        <v>78</v>
      </c>
      <c r="I728" t="s">
        <v>67</v>
      </c>
      <c r="J728" s="3">
        <v>45766</v>
      </c>
      <c r="K728">
        <v>0.7</v>
      </c>
      <c r="L728">
        <v>30</v>
      </c>
      <c r="M728" s="4">
        <v>6200</v>
      </c>
      <c r="N728" s="4">
        <v>96611</v>
      </c>
      <c r="O728" t="s">
        <v>68</v>
      </c>
      <c r="P728" t="s">
        <v>69</v>
      </c>
      <c r="Q728">
        <v>3.2</v>
      </c>
      <c r="R728">
        <v>84</v>
      </c>
      <c r="S728">
        <v>19</v>
      </c>
      <c r="T728" t="s">
        <v>69</v>
      </c>
      <c r="U728">
        <v>11</v>
      </c>
      <c r="V728">
        <v>31</v>
      </c>
      <c r="W728" t="s">
        <v>70</v>
      </c>
      <c r="X728" t="s">
        <v>68</v>
      </c>
      <c r="Y728" t="s">
        <v>71</v>
      </c>
      <c r="Z728" t="s">
        <v>108</v>
      </c>
    </row>
    <row r="729" spans="1:26" x14ac:dyDescent="0.2">
      <c r="A729" t="s">
        <v>1443</v>
      </c>
      <c r="B729" t="s">
        <v>743</v>
      </c>
      <c r="C729" t="s">
        <v>102</v>
      </c>
      <c r="D729" t="s">
        <v>103</v>
      </c>
      <c r="E729" t="s">
        <v>369</v>
      </c>
      <c r="F729" t="s">
        <v>120</v>
      </c>
      <c r="G729" t="s">
        <v>85</v>
      </c>
      <c r="H729" t="s">
        <v>78</v>
      </c>
      <c r="I729" t="s">
        <v>148</v>
      </c>
      <c r="J729" s="3">
        <v>45859</v>
      </c>
      <c r="K729">
        <v>0.4</v>
      </c>
      <c r="L729">
        <v>45</v>
      </c>
      <c r="M729" s="4">
        <v>9700</v>
      </c>
      <c r="N729" s="4">
        <v>156565</v>
      </c>
      <c r="O729" t="s">
        <v>68</v>
      </c>
      <c r="P729" t="s">
        <v>69</v>
      </c>
      <c r="Q729">
        <v>3.01</v>
      </c>
      <c r="R729">
        <v>77</v>
      </c>
      <c r="S729">
        <v>22</v>
      </c>
      <c r="T729" t="s">
        <v>68</v>
      </c>
      <c r="U729">
        <v>6</v>
      </c>
      <c r="V729">
        <v>30</v>
      </c>
      <c r="W729" t="s">
        <v>70</v>
      </c>
      <c r="X729" t="s">
        <v>68</v>
      </c>
      <c r="Y729" t="s">
        <v>71</v>
      </c>
      <c r="Z729" t="s">
        <v>102</v>
      </c>
    </row>
    <row r="730" spans="1:26" x14ac:dyDescent="0.2">
      <c r="A730" t="s">
        <v>1444</v>
      </c>
      <c r="B730" t="s">
        <v>848</v>
      </c>
      <c r="C730" t="s">
        <v>74</v>
      </c>
      <c r="D730" t="s">
        <v>75</v>
      </c>
      <c r="E730" t="s">
        <v>307</v>
      </c>
      <c r="F730" t="s">
        <v>120</v>
      </c>
      <c r="G730" t="s">
        <v>227</v>
      </c>
      <c r="H730" t="s">
        <v>78</v>
      </c>
      <c r="I730" t="s">
        <v>236</v>
      </c>
      <c r="J730" s="3">
        <v>44735</v>
      </c>
      <c r="K730">
        <v>3.5</v>
      </c>
      <c r="L730">
        <v>27</v>
      </c>
      <c r="M730" s="4">
        <v>9000</v>
      </c>
      <c r="N730" s="4">
        <v>138731</v>
      </c>
      <c r="O730" t="s">
        <v>68</v>
      </c>
      <c r="P730" t="s">
        <v>68</v>
      </c>
      <c r="Q730">
        <v>3.47</v>
      </c>
      <c r="R730">
        <v>65</v>
      </c>
      <c r="S730">
        <v>7</v>
      </c>
      <c r="T730" t="s">
        <v>69</v>
      </c>
      <c r="U730">
        <v>1</v>
      </c>
      <c r="V730">
        <v>44</v>
      </c>
      <c r="W730" t="s">
        <v>70</v>
      </c>
      <c r="X730" t="s">
        <v>68</v>
      </c>
      <c r="Y730" t="s">
        <v>71</v>
      </c>
      <c r="Z730" t="s">
        <v>74</v>
      </c>
    </row>
    <row r="731" spans="1:26" x14ac:dyDescent="0.2">
      <c r="A731" t="s">
        <v>1445</v>
      </c>
      <c r="B731" t="s">
        <v>613</v>
      </c>
      <c r="C731" t="s">
        <v>133</v>
      </c>
      <c r="D731" t="s">
        <v>287</v>
      </c>
      <c r="E731" t="s">
        <v>1446</v>
      </c>
      <c r="F731" t="s">
        <v>92</v>
      </c>
      <c r="G731" t="s">
        <v>65</v>
      </c>
      <c r="H731" t="s">
        <v>78</v>
      </c>
      <c r="I731" t="s">
        <v>236</v>
      </c>
      <c r="J731" s="3">
        <v>42362</v>
      </c>
      <c r="K731">
        <v>10</v>
      </c>
      <c r="L731">
        <v>32</v>
      </c>
      <c r="M731" s="4">
        <v>3700</v>
      </c>
      <c r="N731" s="4">
        <v>57153</v>
      </c>
      <c r="O731" t="s">
        <v>68</v>
      </c>
      <c r="P731" t="s">
        <v>69</v>
      </c>
      <c r="Q731">
        <v>3.33</v>
      </c>
      <c r="R731">
        <v>76</v>
      </c>
      <c r="S731">
        <v>14</v>
      </c>
      <c r="T731" t="s">
        <v>69</v>
      </c>
      <c r="U731">
        <v>0</v>
      </c>
      <c r="V731">
        <v>0</v>
      </c>
      <c r="W731" t="s">
        <v>70</v>
      </c>
      <c r="X731" t="s">
        <v>68</v>
      </c>
      <c r="Y731" t="s">
        <v>71</v>
      </c>
      <c r="Z731" t="s">
        <v>133</v>
      </c>
    </row>
    <row r="732" spans="1:26" x14ac:dyDescent="0.2">
      <c r="A732" t="s">
        <v>1447</v>
      </c>
      <c r="B732" t="s">
        <v>471</v>
      </c>
      <c r="C732" t="s">
        <v>133</v>
      </c>
      <c r="D732" t="s">
        <v>15</v>
      </c>
      <c r="E732" t="s">
        <v>1315</v>
      </c>
      <c r="F732" t="s">
        <v>84</v>
      </c>
      <c r="G732" t="s">
        <v>65</v>
      </c>
      <c r="H732" t="s">
        <v>78</v>
      </c>
      <c r="I732" t="s">
        <v>93</v>
      </c>
      <c r="J732" s="3">
        <v>45738</v>
      </c>
      <c r="K732">
        <v>0.8</v>
      </c>
      <c r="L732">
        <v>46</v>
      </c>
      <c r="M732" s="4">
        <v>21100</v>
      </c>
      <c r="N732" s="4">
        <v>345559</v>
      </c>
      <c r="O732" t="s">
        <v>69</v>
      </c>
      <c r="P732" t="s">
        <v>68</v>
      </c>
      <c r="Q732">
        <v>2.4500000000000002</v>
      </c>
      <c r="R732">
        <v>59</v>
      </c>
      <c r="S732">
        <v>53</v>
      </c>
      <c r="T732" t="s">
        <v>69</v>
      </c>
      <c r="U732">
        <v>3</v>
      </c>
      <c r="V732">
        <v>25</v>
      </c>
      <c r="W732" t="s">
        <v>68</v>
      </c>
      <c r="X732" t="s">
        <v>68</v>
      </c>
      <c r="Y732" t="s">
        <v>71</v>
      </c>
      <c r="Z732" t="s">
        <v>133</v>
      </c>
    </row>
    <row r="733" spans="1:26" x14ac:dyDescent="0.2">
      <c r="A733" t="s">
        <v>1448</v>
      </c>
      <c r="B733" t="s">
        <v>347</v>
      </c>
      <c r="C733" t="s">
        <v>74</v>
      </c>
      <c r="D733" t="s">
        <v>118</v>
      </c>
      <c r="E733" t="s">
        <v>438</v>
      </c>
      <c r="F733" t="s">
        <v>64</v>
      </c>
      <c r="G733" t="s">
        <v>65</v>
      </c>
      <c r="H733" t="s">
        <v>66</v>
      </c>
      <c r="I733" t="s">
        <v>99</v>
      </c>
      <c r="J733" s="3">
        <v>41450</v>
      </c>
      <c r="K733">
        <v>12.5</v>
      </c>
      <c r="L733">
        <v>24</v>
      </c>
      <c r="M733" s="4">
        <v>6900</v>
      </c>
      <c r="N733" s="4">
        <v>112988</v>
      </c>
      <c r="O733" t="s">
        <v>68</v>
      </c>
      <c r="P733" t="s">
        <v>68</v>
      </c>
      <c r="Q733">
        <v>2.6</v>
      </c>
      <c r="R733">
        <v>48</v>
      </c>
      <c r="S733">
        <v>30</v>
      </c>
      <c r="T733" t="s">
        <v>69</v>
      </c>
      <c r="U733">
        <v>7</v>
      </c>
      <c r="V733">
        <v>39</v>
      </c>
      <c r="W733" t="s">
        <v>70</v>
      </c>
      <c r="X733" t="s">
        <v>68</v>
      </c>
      <c r="Y733" t="s">
        <v>86</v>
      </c>
      <c r="Z733" t="s">
        <v>74</v>
      </c>
    </row>
    <row r="734" spans="1:26" x14ac:dyDescent="0.2">
      <c r="A734" t="s">
        <v>1449</v>
      </c>
      <c r="B734" t="s">
        <v>1038</v>
      </c>
      <c r="C734" t="s">
        <v>133</v>
      </c>
      <c r="D734" t="s">
        <v>15</v>
      </c>
      <c r="E734" t="s">
        <v>1373</v>
      </c>
      <c r="F734" t="s">
        <v>64</v>
      </c>
      <c r="G734" t="s">
        <v>65</v>
      </c>
      <c r="H734" t="s">
        <v>78</v>
      </c>
      <c r="I734" t="s">
        <v>99</v>
      </c>
      <c r="J734" s="3">
        <v>45575</v>
      </c>
      <c r="K734">
        <v>1.2</v>
      </c>
      <c r="L734">
        <v>40</v>
      </c>
      <c r="M734" s="4">
        <v>7100</v>
      </c>
      <c r="N734" s="4">
        <v>108071</v>
      </c>
      <c r="O734" t="s">
        <v>68</v>
      </c>
      <c r="P734" t="s">
        <v>68</v>
      </c>
      <c r="Q734">
        <v>2.82</v>
      </c>
      <c r="R734">
        <v>59</v>
      </c>
      <c r="S734">
        <v>21</v>
      </c>
      <c r="T734" t="s">
        <v>69</v>
      </c>
      <c r="U734">
        <v>1</v>
      </c>
      <c r="V734">
        <v>22</v>
      </c>
      <c r="W734" t="s">
        <v>70</v>
      </c>
      <c r="X734" t="s">
        <v>68</v>
      </c>
      <c r="Y734" t="s">
        <v>86</v>
      </c>
      <c r="Z734" t="s">
        <v>133</v>
      </c>
    </row>
    <row r="735" spans="1:26" x14ac:dyDescent="0.2">
      <c r="A735" t="s">
        <v>1450</v>
      </c>
      <c r="B735" t="s">
        <v>910</v>
      </c>
      <c r="C735" t="s">
        <v>102</v>
      </c>
      <c r="D735" t="s">
        <v>183</v>
      </c>
      <c r="E735" t="s">
        <v>1020</v>
      </c>
      <c r="F735" t="s">
        <v>64</v>
      </c>
      <c r="G735" t="s">
        <v>65</v>
      </c>
      <c r="H735" t="s">
        <v>66</v>
      </c>
      <c r="I735" t="s">
        <v>67</v>
      </c>
      <c r="J735" s="3">
        <v>44402</v>
      </c>
      <c r="K735">
        <v>4.4000000000000004</v>
      </c>
      <c r="L735">
        <v>60</v>
      </c>
      <c r="M735" s="4">
        <v>5800</v>
      </c>
      <c r="N735" s="4">
        <v>93516</v>
      </c>
      <c r="O735" t="s">
        <v>68</v>
      </c>
      <c r="P735" t="s">
        <v>69</v>
      </c>
      <c r="Q735">
        <v>3.8</v>
      </c>
      <c r="R735">
        <v>65</v>
      </c>
      <c r="S735">
        <v>28</v>
      </c>
      <c r="T735" t="s">
        <v>69</v>
      </c>
      <c r="U735">
        <v>1</v>
      </c>
      <c r="V735">
        <v>43</v>
      </c>
      <c r="W735" t="s">
        <v>70</v>
      </c>
      <c r="X735" t="s">
        <v>69</v>
      </c>
      <c r="Y735" t="s">
        <v>86</v>
      </c>
      <c r="Z735" t="s">
        <v>102</v>
      </c>
    </row>
    <row r="736" spans="1:26" x14ac:dyDescent="0.2">
      <c r="A736" t="s">
        <v>1451</v>
      </c>
      <c r="B736" t="s">
        <v>300</v>
      </c>
      <c r="C736" t="s">
        <v>74</v>
      </c>
      <c r="D736" t="s">
        <v>313</v>
      </c>
      <c r="E736" t="s">
        <v>526</v>
      </c>
      <c r="F736" t="s">
        <v>136</v>
      </c>
      <c r="G736" t="s">
        <v>85</v>
      </c>
      <c r="H736" t="s">
        <v>78</v>
      </c>
      <c r="I736" t="s">
        <v>79</v>
      </c>
      <c r="J736" s="3">
        <v>44207</v>
      </c>
      <c r="K736">
        <v>5</v>
      </c>
      <c r="L736">
        <v>37</v>
      </c>
      <c r="M736" s="4">
        <v>13400</v>
      </c>
      <c r="N736" s="4">
        <v>212287</v>
      </c>
      <c r="O736" t="s">
        <v>68</v>
      </c>
      <c r="P736" t="s">
        <v>68</v>
      </c>
      <c r="Q736">
        <v>3.37</v>
      </c>
      <c r="R736">
        <v>54</v>
      </c>
      <c r="S736">
        <v>30</v>
      </c>
      <c r="T736" t="s">
        <v>68</v>
      </c>
      <c r="U736">
        <v>4</v>
      </c>
      <c r="V736">
        <v>3</v>
      </c>
      <c r="W736" t="s">
        <v>70</v>
      </c>
      <c r="X736" t="s">
        <v>68</v>
      </c>
      <c r="Y736" t="s">
        <v>71</v>
      </c>
      <c r="Z736" t="s">
        <v>74</v>
      </c>
    </row>
    <row r="737" spans="1:26" x14ac:dyDescent="0.2">
      <c r="A737" t="s">
        <v>1452</v>
      </c>
      <c r="B737" t="s">
        <v>357</v>
      </c>
      <c r="C737" t="s">
        <v>61</v>
      </c>
      <c r="D737" t="s">
        <v>177</v>
      </c>
      <c r="E737" t="s">
        <v>1127</v>
      </c>
      <c r="F737" t="s">
        <v>84</v>
      </c>
      <c r="G737" t="s">
        <v>65</v>
      </c>
      <c r="H737" t="s">
        <v>78</v>
      </c>
      <c r="I737" t="s">
        <v>99</v>
      </c>
      <c r="J737" s="3">
        <v>41514</v>
      </c>
      <c r="K737">
        <v>12.4</v>
      </c>
      <c r="L737">
        <v>37</v>
      </c>
      <c r="M737" s="4">
        <v>19900</v>
      </c>
      <c r="N737" s="4">
        <v>299755</v>
      </c>
      <c r="O737" t="s">
        <v>69</v>
      </c>
      <c r="P737" t="s">
        <v>69</v>
      </c>
      <c r="Q737">
        <v>3.84</v>
      </c>
      <c r="R737">
        <v>78</v>
      </c>
      <c r="S737">
        <v>27</v>
      </c>
      <c r="T737" t="s">
        <v>68</v>
      </c>
      <c r="U737">
        <v>0</v>
      </c>
      <c r="V737">
        <v>11</v>
      </c>
      <c r="W737" t="s">
        <v>68</v>
      </c>
      <c r="X737" t="s">
        <v>69</v>
      </c>
      <c r="Y737" t="s">
        <v>71</v>
      </c>
      <c r="Z737" t="s">
        <v>61</v>
      </c>
    </row>
    <row r="738" spans="1:26" x14ac:dyDescent="0.2">
      <c r="A738" t="s">
        <v>1453</v>
      </c>
      <c r="B738" t="s">
        <v>153</v>
      </c>
      <c r="C738" t="s">
        <v>89</v>
      </c>
      <c r="D738" t="s">
        <v>239</v>
      </c>
      <c r="E738" t="s">
        <v>580</v>
      </c>
      <c r="F738" t="s">
        <v>77</v>
      </c>
      <c r="G738" t="s">
        <v>65</v>
      </c>
      <c r="H738" t="s">
        <v>78</v>
      </c>
      <c r="I738" t="s">
        <v>121</v>
      </c>
      <c r="J738" s="3">
        <v>41539</v>
      </c>
      <c r="K738">
        <v>12.3</v>
      </c>
      <c r="L738">
        <v>59</v>
      </c>
      <c r="M738" s="4">
        <v>12900</v>
      </c>
      <c r="N738" s="4">
        <v>210404</v>
      </c>
      <c r="O738" t="s">
        <v>68</v>
      </c>
      <c r="P738" t="s">
        <v>69</v>
      </c>
      <c r="Q738">
        <v>3.07</v>
      </c>
      <c r="R738">
        <v>66</v>
      </c>
      <c r="S738">
        <v>26</v>
      </c>
      <c r="T738" t="s">
        <v>69</v>
      </c>
      <c r="U738">
        <v>5</v>
      </c>
      <c r="V738">
        <v>34</v>
      </c>
      <c r="W738" t="s">
        <v>70</v>
      </c>
      <c r="X738" t="s">
        <v>68</v>
      </c>
      <c r="Y738" t="s">
        <v>71</v>
      </c>
      <c r="Z738" t="s">
        <v>89</v>
      </c>
    </row>
    <row r="739" spans="1:26" x14ac:dyDescent="0.2">
      <c r="A739" t="s">
        <v>1454</v>
      </c>
      <c r="B739" t="s">
        <v>697</v>
      </c>
      <c r="C739" t="s">
        <v>96</v>
      </c>
      <c r="D739" t="s">
        <v>129</v>
      </c>
      <c r="E739" t="s">
        <v>562</v>
      </c>
      <c r="F739" t="s">
        <v>77</v>
      </c>
      <c r="G739" t="s">
        <v>65</v>
      </c>
      <c r="H739" t="s">
        <v>66</v>
      </c>
      <c r="I739" t="s">
        <v>148</v>
      </c>
      <c r="J739" s="3">
        <v>43831</v>
      </c>
      <c r="K739">
        <v>6</v>
      </c>
      <c r="L739">
        <v>26</v>
      </c>
      <c r="M739" s="4">
        <v>12400</v>
      </c>
      <c r="N739" s="4">
        <v>192897</v>
      </c>
      <c r="O739" t="s">
        <v>68</v>
      </c>
      <c r="P739" t="s">
        <v>69</v>
      </c>
      <c r="Q739">
        <v>2.2400000000000002</v>
      </c>
      <c r="R739">
        <v>59</v>
      </c>
      <c r="S739">
        <v>18</v>
      </c>
      <c r="T739" t="s">
        <v>69</v>
      </c>
      <c r="U739">
        <v>4</v>
      </c>
      <c r="V739">
        <v>28</v>
      </c>
      <c r="W739" t="s">
        <v>70</v>
      </c>
      <c r="X739" t="s">
        <v>68</v>
      </c>
      <c r="Y739" t="s">
        <v>71</v>
      </c>
      <c r="Z739" t="s">
        <v>96</v>
      </c>
    </row>
    <row r="740" spans="1:26" x14ac:dyDescent="0.2">
      <c r="A740" t="s">
        <v>1455</v>
      </c>
      <c r="B740" t="s">
        <v>446</v>
      </c>
      <c r="C740" t="s">
        <v>74</v>
      </c>
      <c r="D740" t="s">
        <v>118</v>
      </c>
      <c r="E740" t="s">
        <v>511</v>
      </c>
      <c r="F740" t="s">
        <v>77</v>
      </c>
      <c r="G740" t="s">
        <v>65</v>
      </c>
      <c r="H740" t="s">
        <v>66</v>
      </c>
      <c r="I740" t="s">
        <v>111</v>
      </c>
      <c r="J740" s="3">
        <v>43727</v>
      </c>
      <c r="K740">
        <v>6.3</v>
      </c>
      <c r="L740">
        <v>41</v>
      </c>
      <c r="M740" s="4">
        <v>11400</v>
      </c>
      <c r="N740" s="4">
        <v>172672</v>
      </c>
      <c r="O740" t="s">
        <v>68</v>
      </c>
      <c r="P740" t="s">
        <v>68</v>
      </c>
      <c r="Q740">
        <v>3.59</v>
      </c>
      <c r="R740">
        <v>77</v>
      </c>
      <c r="S740">
        <v>39</v>
      </c>
      <c r="T740" t="s">
        <v>69</v>
      </c>
      <c r="U740">
        <v>0</v>
      </c>
      <c r="V740">
        <v>5</v>
      </c>
      <c r="W740" t="s">
        <v>70</v>
      </c>
      <c r="X740" t="s">
        <v>69</v>
      </c>
      <c r="Y740" t="s">
        <v>71</v>
      </c>
      <c r="Z740" t="s">
        <v>74</v>
      </c>
    </row>
    <row r="741" spans="1:26" x14ac:dyDescent="0.2">
      <c r="A741" t="s">
        <v>1456</v>
      </c>
      <c r="B741" t="s">
        <v>1438</v>
      </c>
      <c r="C741" t="s">
        <v>133</v>
      </c>
      <c r="D741" t="s">
        <v>15</v>
      </c>
      <c r="E741" t="s">
        <v>890</v>
      </c>
      <c r="F741" t="s">
        <v>77</v>
      </c>
      <c r="G741" t="s">
        <v>85</v>
      </c>
      <c r="H741" t="s">
        <v>78</v>
      </c>
      <c r="I741" t="s">
        <v>115</v>
      </c>
      <c r="J741" s="3">
        <v>44857</v>
      </c>
      <c r="K741">
        <v>3.2</v>
      </c>
      <c r="L741">
        <v>60</v>
      </c>
      <c r="M741" s="4">
        <v>10900</v>
      </c>
      <c r="N741" s="4">
        <v>175420</v>
      </c>
      <c r="O741" t="s">
        <v>68</v>
      </c>
      <c r="P741" t="s">
        <v>69</v>
      </c>
      <c r="Q741">
        <v>2.67</v>
      </c>
      <c r="R741">
        <v>68</v>
      </c>
      <c r="S741">
        <v>10</v>
      </c>
      <c r="T741" t="s">
        <v>69</v>
      </c>
      <c r="U741">
        <v>5</v>
      </c>
      <c r="V741">
        <v>0</v>
      </c>
      <c r="W741" t="s">
        <v>70</v>
      </c>
      <c r="X741" t="s">
        <v>68</v>
      </c>
      <c r="Y741" t="s">
        <v>71</v>
      </c>
      <c r="Z741" t="s">
        <v>133</v>
      </c>
    </row>
    <row r="742" spans="1:26" x14ac:dyDescent="0.2">
      <c r="A742" t="s">
        <v>1457</v>
      </c>
      <c r="B742" t="s">
        <v>1325</v>
      </c>
      <c r="C742" t="s">
        <v>12</v>
      </c>
      <c r="D742" t="s">
        <v>200</v>
      </c>
      <c r="E742" t="s">
        <v>596</v>
      </c>
      <c r="F742" t="s">
        <v>92</v>
      </c>
      <c r="G742" t="s">
        <v>65</v>
      </c>
      <c r="H742" t="s">
        <v>66</v>
      </c>
      <c r="I742" t="s">
        <v>115</v>
      </c>
      <c r="J742" s="3">
        <v>42964</v>
      </c>
      <c r="K742">
        <v>8.4</v>
      </c>
      <c r="L742">
        <v>50</v>
      </c>
      <c r="M742" s="4">
        <v>4600</v>
      </c>
      <c r="N742" s="4">
        <v>74467</v>
      </c>
      <c r="O742" t="s">
        <v>68</v>
      </c>
      <c r="P742" t="s">
        <v>68</v>
      </c>
      <c r="Q742">
        <v>3</v>
      </c>
      <c r="R742">
        <v>64</v>
      </c>
      <c r="S742">
        <v>39</v>
      </c>
      <c r="T742" t="s">
        <v>69</v>
      </c>
      <c r="U742">
        <v>7</v>
      </c>
      <c r="V742">
        <v>18</v>
      </c>
      <c r="W742" t="s">
        <v>70</v>
      </c>
      <c r="X742" t="s">
        <v>68</v>
      </c>
      <c r="Y742" t="s">
        <v>71</v>
      </c>
      <c r="Z742" t="s">
        <v>12</v>
      </c>
    </row>
    <row r="743" spans="1:26" x14ac:dyDescent="0.2">
      <c r="A743" t="s">
        <v>1458</v>
      </c>
      <c r="B743" t="s">
        <v>590</v>
      </c>
      <c r="C743" t="s">
        <v>108</v>
      </c>
      <c r="D743" t="s">
        <v>222</v>
      </c>
      <c r="E743" t="s">
        <v>378</v>
      </c>
      <c r="F743" t="s">
        <v>77</v>
      </c>
      <c r="G743" t="s">
        <v>65</v>
      </c>
      <c r="H743" t="s">
        <v>66</v>
      </c>
      <c r="I743" t="s">
        <v>79</v>
      </c>
      <c r="J743" s="3">
        <v>43767</v>
      </c>
      <c r="K743">
        <v>6.2</v>
      </c>
      <c r="L743">
        <v>50</v>
      </c>
      <c r="M743" s="4">
        <v>13100</v>
      </c>
      <c r="N743" s="4">
        <v>205490</v>
      </c>
      <c r="O743" t="s">
        <v>68</v>
      </c>
      <c r="P743" t="s">
        <v>69</v>
      </c>
      <c r="Q743">
        <v>2.94</v>
      </c>
      <c r="R743">
        <v>69</v>
      </c>
      <c r="S743">
        <v>30</v>
      </c>
      <c r="T743" t="s">
        <v>69</v>
      </c>
      <c r="U743">
        <v>7</v>
      </c>
      <c r="V743">
        <v>8</v>
      </c>
      <c r="W743" t="s">
        <v>70</v>
      </c>
      <c r="X743" t="s">
        <v>68</v>
      </c>
      <c r="Y743" t="s">
        <v>71</v>
      </c>
      <c r="Z743" t="s">
        <v>108</v>
      </c>
    </row>
    <row r="744" spans="1:26" x14ac:dyDescent="0.2">
      <c r="A744" t="s">
        <v>1459</v>
      </c>
      <c r="B744" t="s">
        <v>564</v>
      </c>
      <c r="C744" t="s">
        <v>108</v>
      </c>
      <c r="D744" t="s">
        <v>109</v>
      </c>
      <c r="E744" t="s">
        <v>600</v>
      </c>
      <c r="F744" t="s">
        <v>120</v>
      </c>
      <c r="G744" t="s">
        <v>65</v>
      </c>
      <c r="H744" t="s">
        <v>66</v>
      </c>
      <c r="I744" t="s">
        <v>99</v>
      </c>
      <c r="J744" s="3">
        <v>42604</v>
      </c>
      <c r="K744">
        <v>9.4</v>
      </c>
      <c r="L744">
        <v>43</v>
      </c>
      <c r="M744" s="4">
        <v>8300</v>
      </c>
      <c r="N744" s="4">
        <v>121827</v>
      </c>
      <c r="O744" t="s">
        <v>69</v>
      </c>
      <c r="P744" t="s">
        <v>69</v>
      </c>
      <c r="Q744">
        <v>2.71</v>
      </c>
      <c r="R744">
        <v>76</v>
      </c>
      <c r="S744">
        <v>22</v>
      </c>
      <c r="T744" t="s">
        <v>69</v>
      </c>
      <c r="U744">
        <v>6</v>
      </c>
      <c r="V744">
        <v>38</v>
      </c>
      <c r="W744" t="s">
        <v>69</v>
      </c>
      <c r="X744" t="s">
        <v>68</v>
      </c>
      <c r="Y744" t="s">
        <v>71</v>
      </c>
      <c r="Z744" t="s">
        <v>108</v>
      </c>
    </row>
    <row r="745" spans="1:26" x14ac:dyDescent="0.2">
      <c r="A745" t="s">
        <v>1460</v>
      </c>
      <c r="B745" t="s">
        <v>380</v>
      </c>
      <c r="C745" t="s">
        <v>61</v>
      </c>
      <c r="D745" t="s">
        <v>177</v>
      </c>
      <c r="E745" t="s">
        <v>776</v>
      </c>
      <c r="F745" t="s">
        <v>136</v>
      </c>
      <c r="G745" t="s">
        <v>65</v>
      </c>
      <c r="H745" t="s">
        <v>66</v>
      </c>
      <c r="I745" t="s">
        <v>148</v>
      </c>
      <c r="J745" s="3">
        <v>44739</v>
      </c>
      <c r="K745">
        <v>3.5</v>
      </c>
      <c r="L745">
        <v>47</v>
      </c>
      <c r="M745" s="4">
        <v>11400</v>
      </c>
      <c r="N745" s="4">
        <v>174482</v>
      </c>
      <c r="O745" t="s">
        <v>69</v>
      </c>
      <c r="P745" t="s">
        <v>69</v>
      </c>
      <c r="Q745">
        <v>3.11</v>
      </c>
      <c r="R745">
        <v>70</v>
      </c>
      <c r="S745">
        <v>33</v>
      </c>
      <c r="T745" t="s">
        <v>69</v>
      </c>
      <c r="U745">
        <v>8</v>
      </c>
      <c r="V745">
        <v>33</v>
      </c>
      <c r="W745" t="s">
        <v>69</v>
      </c>
      <c r="X745" t="s">
        <v>68</v>
      </c>
      <c r="Y745" t="s">
        <v>71</v>
      </c>
      <c r="Z745" t="s">
        <v>61</v>
      </c>
    </row>
    <row r="746" spans="1:26" x14ac:dyDescent="0.2">
      <c r="A746" t="s">
        <v>1461</v>
      </c>
      <c r="B746" t="s">
        <v>1142</v>
      </c>
      <c r="C746" t="s">
        <v>102</v>
      </c>
      <c r="D746" t="s">
        <v>339</v>
      </c>
      <c r="E746" t="s">
        <v>472</v>
      </c>
      <c r="F746" t="s">
        <v>64</v>
      </c>
      <c r="G746" t="s">
        <v>65</v>
      </c>
      <c r="H746" t="s">
        <v>78</v>
      </c>
      <c r="I746" t="s">
        <v>79</v>
      </c>
      <c r="J746" s="3">
        <v>45276</v>
      </c>
      <c r="K746">
        <v>2</v>
      </c>
      <c r="L746">
        <v>39</v>
      </c>
      <c r="M746" s="4">
        <v>8300</v>
      </c>
      <c r="N746" s="4">
        <v>130338</v>
      </c>
      <c r="O746" t="s">
        <v>68</v>
      </c>
      <c r="P746" t="s">
        <v>69</v>
      </c>
      <c r="Q746">
        <v>3.74</v>
      </c>
      <c r="R746">
        <v>70</v>
      </c>
      <c r="S746">
        <v>12</v>
      </c>
      <c r="T746" t="s">
        <v>69</v>
      </c>
      <c r="U746">
        <v>8</v>
      </c>
      <c r="V746">
        <v>30</v>
      </c>
      <c r="W746" t="s">
        <v>70</v>
      </c>
      <c r="X746" t="s">
        <v>69</v>
      </c>
      <c r="Y746" t="s">
        <v>71</v>
      </c>
      <c r="Z746" t="s">
        <v>102</v>
      </c>
    </row>
    <row r="747" spans="1:26" x14ac:dyDescent="0.2">
      <c r="A747" t="s">
        <v>1462</v>
      </c>
      <c r="B747" t="s">
        <v>1463</v>
      </c>
      <c r="C747" t="s">
        <v>102</v>
      </c>
      <c r="D747" t="s">
        <v>103</v>
      </c>
      <c r="E747" t="s">
        <v>503</v>
      </c>
      <c r="F747" t="s">
        <v>136</v>
      </c>
      <c r="G747" t="s">
        <v>65</v>
      </c>
      <c r="H747" t="s">
        <v>66</v>
      </c>
      <c r="I747" t="s">
        <v>99</v>
      </c>
      <c r="J747" s="3">
        <v>42302</v>
      </c>
      <c r="K747">
        <v>10.199999999999999</v>
      </c>
      <c r="L747">
        <v>36</v>
      </c>
      <c r="M747" s="4">
        <v>13000</v>
      </c>
      <c r="N747" s="4">
        <v>206120</v>
      </c>
      <c r="O747" t="s">
        <v>69</v>
      </c>
      <c r="P747" t="s">
        <v>69</v>
      </c>
      <c r="Q747">
        <v>2.86</v>
      </c>
      <c r="R747">
        <v>72</v>
      </c>
      <c r="S747">
        <v>57</v>
      </c>
      <c r="T747" t="s">
        <v>69</v>
      </c>
      <c r="U747">
        <v>9</v>
      </c>
      <c r="V747">
        <v>30</v>
      </c>
      <c r="W747" t="s">
        <v>68</v>
      </c>
      <c r="X747" t="s">
        <v>68</v>
      </c>
      <c r="Y747" t="s">
        <v>71</v>
      </c>
      <c r="Z747" t="s">
        <v>102</v>
      </c>
    </row>
    <row r="748" spans="1:26" x14ac:dyDescent="0.2">
      <c r="A748" t="s">
        <v>1464</v>
      </c>
      <c r="B748" t="s">
        <v>561</v>
      </c>
      <c r="C748" t="s">
        <v>108</v>
      </c>
      <c r="D748" t="s">
        <v>194</v>
      </c>
      <c r="E748" t="s">
        <v>195</v>
      </c>
      <c r="F748" t="s">
        <v>64</v>
      </c>
      <c r="G748" t="s">
        <v>65</v>
      </c>
      <c r="H748" t="s">
        <v>78</v>
      </c>
      <c r="I748" t="s">
        <v>148</v>
      </c>
      <c r="J748" s="3">
        <v>43547</v>
      </c>
      <c r="K748">
        <v>6.8</v>
      </c>
      <c r="L748">
        <v>22</v>
      </c>
      <c r="M748" s="4">
        <v>6100</v>
      </c>
      <c r="N748" s="4">
        <v>93624</v>
      </c>
      <c r="O748" t="s">
        <v>68</v>
      </c>
      <c r="P748" t="s">
        <v>69</v>
      </c>
      <c r="Q748">
        <v>3.21</v>
      </c>
      <c r="R748">
        <v>57</v>
      </c>
      <c r="S748">
        <v>26</v>
      </c>
      <c r="T748" t="s">
        <v>68</v>
      </c>
      <c r="U748">
        <v>0</v>
      </c>
      <c r="V748">
        <v>14</v>
      </c>
      <c r="W748" t="s">
        <v>70</v>
      </c>
      <c r="X748" t="s">
        <v>68</v>
      </c>
      <c r="Y748" t="s">
        <v>86</v>
      </c>
      <c r="Z748" t="s">
        <v>108</v>
      </c>
    </row>
    <row r="749" spans="1:26" x14ac:dyDescent="0.2">
      <c r="A749" t="s">
        <v>1465</v>
      </c>
      <c r="B749" t="s">
        <v>217</v>
      </c>
      <c r="C749" t="s">
        <v>143</v>
      </c>
      <c r="D749" t="s">
        <v>552</v>
      </c>
      <c r="E749" t="s">
        <v>553</v>
      </c>
      <c r="F749" t="s">
        <v>92</v>
      </c>
      <c r="G749" t="s">
        <v>65</v>
      </c>
      <c r="H749" t="s">
        <v>66</v>
      </c>
      <c r="I749" t="s">
        <v>99</v>
      </c>
      <c r="J749" s="3">
        <v>42397</v>
      </c>
      <c r="K749">
        <v>9.9</v>
      </c>
      <c r="L749">
        <v>60</v>
      </c>
      <c r="M749" s="4">
        <v>3700</v>
      </c>
      <c r="N749" s="4">
        <v>60232</v>
      </c>
      <c r="O749" t="s">
        <v>68</v>
      </c>
      <c r="P749" t="s">
        <v>69</v>
      </c>
      <c r="Q749">
        <v>3.37</v>
      </c>
      <c r="R749">
        <v>55</v>
      </c>
      <c r="S749">
        <v>31</v>
      </c>
      <c r="T749" t="s">
        <v>69</v>
      </c>
      <c r="U749">
        <v>8</v>
      </c>
      <c r="V749">
        <v>0</v>
      </c>
      <c r="W749" t="s">
        <v>70</v>
      </c>
      <c r="X749" t="s">
        <v>68</v>
      </c>
      <c r="Y749" t="s">
        <v>86</v>
      </c>
      <c r="Z749" t="s">
        <v>143</v>
      </c>
    </row>
    <row r="750" spans="1:26" x14ac:dyDescent="0.2">
      <c r="A750" t="s">
        <v>1466</v>
      </c>
      <c r="B750" t="s">
        <v>906</v>
      </c>
      <c r="C750" t="s">
        <v>89</v>
      </c>
      <c r="D750" t="s">
        <v>239</v>
      </c>
      <c r="E750" t="s">
        <v>261</v>
      </c>
      <c r="F750" t="s">
        <v>64</v>
      </c>
      <c r="G750" t="s">
        <v>65</v>
      </c>
      <c r="H750" t="s">
        <v>78</v>
      </c>
      <c r="I750" t="s">
        <v>148</v>
      </c>
      <c r="J750" s="3">
        <v>43139</v>
      </c>
      <c r="K750">
        <v>7.9</v>
      </c>
      <c r="L750">
        <v>26</v>
      </c>
      <c r="M750" s="4">
        <v>5600</v>
      </c>
      <c r="N750" s="4">
        <v>81161</v>
      </c>
      <c r="O750" t="s">
        <v>68</v>
      </c>
      <c r="P750" t="s">
        <v>69</v>
      </c>
      <c r="Q750">
        <v>2.02</v>
      </c>
      <c r="R750">
        <v>52</v>
      </c>
      <c r="S750">
        <v>0</v>
      </c>
      <c r="T750" t="s">
        <v>69</v>
      </c>
      <c r="U750">
        <v>0</v>
      </c>
      <c r="V750">
        <v>32</v>
      </c>
      <c r="W750" t="s">
        <v>70</v>
      </c>
      <c r="X750" t="s">
        <v>68</v>
      </c>
      <c r="Y750" t="s">
        <v>86</v>
      </c>
      <c r="Z750" t="s">
        <v>89</v>
      </c>
    </row>
    <row r="751" spans="1:26" x14ac:dyDescent="0.2">
      <c r="A751" t="s">
        <v>1467</v>
      </c>
      <c r="B751" t="s">
        <v>172</v>
      </c>
      <c r="C751" t="s">
        <v>12</v>
      </c>
      <c r="D751" t="s">
        <v>421</v>
      </c>
      <c r="E751" t="s">
        <v>422</v>
      </c>
      <c r="F751" t="s">
        <v>77</v>
      </c>
      <c r="G751" t="s">
        <v>65</v>
      </c>
      <c r="H751" t="s">
        <v>78</v>
      </c>
      <c r="I751" t="s">
        <v>67</v>
      </c>
      <c r="J751" s="3">
        <v>42752</v>
      </c>
      <c r="K751">
        <v>9</v>
      </c>
      <c r="L751">
        <v>28</v>
      </c>
      <c r="M751" s="4">
        <v>11000</v>
      </c>
      <c r="N751" s="4">
        <v>179180</v>
      </c>
      <c r="O751" t="s">
        <v>68</v>
      </c>
      <c r="P751" t="s">
        <v>69</v>
      </c>
      <c r="Q751">
        <v>2.71</v>
      </c>
      <c r="R751">
        <v>80</v>
      </c>
      <c r="S751">
        <v>29</v>
      </c>
      <c r="T751" t="s">
        <v>69</v>
      </c>
      <c r="U751">
        <v>11</v>
      </c>
      <c r="V751">
        <v>31</v>
      </c>
      <c r="W751" t="s">
        <v>70</v>
      </c>
      <c r="X751" t="s">
        <v>68</v>
      </c>
      <c r="Y751" t="s">
        <v>71</v>
      </c>
      <c r="Z751" t="s">
        <v>12</v>
      </c>
    </row>
    <row r="752" spans="1:26" x14ac:dyDescent="0.2">
      <c r="A752" t="s">
        <v>1468</v>
      </c>
      <c r="B752" t="s">
        <v>471</v>
      </c>
      <c r="C752" t="s">
        <v>12</v>
      </c>
      <c r="D752" t="s">
        <v>421</v>
      </c>
      <c r="E752" t="s">
        <v>492</v>
      </c>
      <c r="F752" t="s">
        <v>120</v>
      </c>
      <c r="G752" t="s">
        <v>65</v>
      </c>
      <c r="H752" t="s">
        <v>66</v>
      </c>
      <c r="I752" t="s">
        <v>99</v>
      </c>
      <c r="J752" s="3">
        <v>43042</v>
      </c>
      <c r="K752">
        <v>8.1999999999999993</v>
      </c>
      <c r="L752">
        <v>33</v>
      </c>
      <c r="M752" s="4">
        <v>8300</v>
      </c>
      <c r="N752" s="4">
        <v>132732</v>
      </c>
      <c r="O752" t="s">
        <v>68</v>
      </c>
      <c r="P752" t="s">
        <v>68</v>
      </c>
      <c r="Q752">
        <v>3.33</v>
      </c>
      <c r="R752">
        <v>59</v>
      </c>
      <c r="S752">
        <v>24</v>
      </c>
      <c r="T752" t="s">
        <v>68</v>
      </c>
      <c r="U752">
        <v>5</v>
      </c>
      <c r="V752">
        <v>0</v>
      </c>
      <c r="W752" t="s">
        <v>70</v>
      </c>
      <c r="X752" t="s">
        <v>68</v>
      </c>
      <c r="Y752" t="s">
        <v>71</v>
      </c>
      <c r="Z752" t="s">
        <v>12</v>
      </c>
    </row>
    <row r="753" spans="1:26" x14ac:dyDescent="0.2">
      <c r="A753" t="s">
        <v>1469</v>
      </c>
      <c r="B753" t="s">
        <v>1353</v>
      </c>
      <c r="C753" t="s">
        <v>108</v>
      </c>
      <c r="D753" t="s">
        <v>109</v>
      </c>
      <c r="E753" t="s">
        <v>264</v>
      </c>
      <c r="F753" t="s">
        <v>64</v>
      </c>
      <c r="G753" t="s">
        <v>65</v>
      </c>
      <c r="H753" t="s">
        <v>78</v>
      </c>
      <c r="I753" t="s">
        <v>67</v>
      </c>
      <c r="J753" s="3">
        <v>43961</v>
      </c>
      <c r="K753">
        <v>5.6</v>
      </c>
      <c r="L753">
        <v>43</v>
      </c>
      <c r="M753" s="4">
        <v>6100</v>
      </c>
      <c r="N753" s="4">
        <v>99200</v>
      </c>
      <c r="O753" t="s">
        <v>68</v>
      </c>
      <c r="P753" t="s">
        <v>69</v>
      </c>
      <c r="Q753">
        <v>2.91</v>
      </c>
      <c r="R753">
        <v>72</v>
      </c>
      <c r="S753">
        <v>41</v>
      </c>
      <c r="T753" t="s">
        <v>69</v>
      </c>
      <c r="U753">
        <v>0</v>
      </c>
      <c r="V753">
        <v>24</v>
      </c>
      <c r="W753" t="s">
        <v>70</v>
      </c>
      <c r="X753" t="s">
        <v>68</v>
      </c>
      <c r="Y753" t="s">
        <v>71</v>
      </c>
      <c r="Z753" t="s">
        <v>108</v>
      </c>
    </row>
    <row r="754" spans="1:26" x14ac:dyDescent="0.2">
      <c r="A754" t="s">
        <v>1470</v>
      </c>
      <c r="B754" t="s">
        <v>866</v>
      </c>
      <c r="C754" t="s">
        <v>102</v>
      </c>
      <c r="D754" t="s">
        <v>103</v>
      </c>
      <c r="E754" t="s">
        <v>369</v>
      </c>
      <c r="F754" t="s">
        <v>120</v>
      </c>
      <c r="G754" t="s">
        <v>215</v>
      </c>
      <c r="H754" t="s">
        <v>66</v>
      </c>
      <c r="I754" t="s">
        <v>67</v>
      </c>
      <c r="J754" s="3">
        <v>44988</v>
      </c>
      <c r="K754">
        <v>2.8</v>
      </c>
      <c r="L754">
        <v>55</v>
      </c>
      <c r="M754" s="4">
        <v>9900</v>
      </c>
      <c r="N754" s="4">
        <v>161683</v>
      </c>
      <c r="O754" t="s">
        <v>68</v>
      </c>
      <c r="P754" t="s">
        <v>69</v>
      </c>
      <c r="Q754">
        <v>2.69</v>
      </c>
      <c r="R754">
        <v>68</v>
      </c>
      <c r="S754">
        <v>34</v>
      </c>
      <c r="T754" t="s">
        <v>69</v>
      </c>
      <c r="U754">
        <v>3</v>
      </c>
      <c r="V754">
        <v>29</v>
      </c>
      <c r="W754" t="s">
        <v>70</v>
      </c>
      <c r="X754" t="s">
        <v>68</v>
      </c>
      <c r="Y754" t="s">
        <v>71</v>
      </c>
      <c r="Z754" t="s">
        <v>102</v>
      </c>
    </row>
    <row r="755" spans="1:26" x14ac:dyDescent="0.2">
      <c r="A755" t="s">
        <v>1471</v>
      </c>
      <c r="B755" t="s">
        <v>1052</v>
      </c>
      <c r="C755" t="s">
        <v>143</v>
      </c>
      <c r="D755" t="s">
        <v>207</v>
      </c>
      <c r="E755" t="s">
        <v>1472</v>
      </c>
      <c r="F755" t="s">
        <v>174</v>
      </c>
      <c r="G755" t="s">
        <v>85</v>
      </c>
      <c r="H755" t="s">
        <v>78</v>
      </c>
      <c r="I755" t="s">
        <v>99</v>
      </c>
      <c r="J755" s="3">
        <v>41649</v>
      </c>
      <c r="K755">
        <v>12</v>
      </c>
      <c r="L755">
        <v>34</v>
      </c>
      <c r="M755" s="4">
        <v>27100</v>
      </c>
      <c r="N755" s="4">
        <v>432547</v>
      </c>
      <c r="O755" t="s">
        <v>69</v>
      </c>
      <c r="P755" t="s">
        <v>69</v>
      </c>
      <c r="Q755">
        <v>2.8</v>
      </c>
      <c r="R755">
        <v>50</v>
      </c>
      <c r="S755">
        <v>40</v>
      </c>
      <c r="T755" t="s">
        <v>69</v>
      </c>
      <c r="U755">
        <v>10</v>
      </c>
      <c r="V755">
        <v>15</v>
      </c>
      <c r="W755" t="s">
        <v>69</v>
      </c>
      <c r="X755" t="s">
        <v>68</v>
      </c>
      <c r="Y755" t="s">
        <v>86</v>
      </c>
      <c r="Z755" t="s">
        <v>143</v>
      </c>
    </row>
    <row r="756" spans="1:26" x14ac:dyDescent="0.2">
      <c r="A756" t="s">
        <v>1473</v>
      </c>
      <c r="B756" t="s">
        <v>1474</v>
      </c>
      <c r="C756" t="s">
        <v>102</v>
      </c>
      <c r="D756" t="s">
        <v>183</v>
      </c>
      <c r="E756" t="s">
        <v>184</v>
      </c>
      <c r="F756" t="s">
        <v>120</v>
      </c>
      <c r="G756" t="s">
        <v>215</v>
      </c>
      <c r="H756" t="s">
        <v>66</v>
      </c>
      <c r="I756" t="s">
        <v>67</v>
      </c>
      <c r="J756" s="3">
        <v>42721</v>
      </c>
      <c r="K756">
        <v>9</v>
      </c>
      <c r="L756">
        <v>48</v>
      </c>
      <c r="M756" s="4">
        <v>8100</v>
      </c>
      <c r="N756" s="4">
        <v>117747</v>
      </c>
      <c r="O756" t="s">
        <v>68</v>
      </c>
      <c r="P756" t="s">
        <v>69</v>
      </c>
      <c r="Q756">
        <v>3.53</v>
      </c>
      <c r="R756">
        <v>63</v>
      </c>
      <c r="S756">
        <v>41</v>
      </c>
      <c r="T756" t="s">
        <v>69</v>
      </c>
      <c r="U756">
        <v>8</v>
      </c>
      <c r="V756">
        <v>16</v>
      </c>
      <c r="W756" t="s">
        <v>70</v>
      </c>
      <c r="X756" t="s">
        <v>69</v>
      </c>
      <c r="Y756" t="s">
        <v>71</v>
      </c>
      <c r="Z756" t="s">
        <v>102</v>
      </c>
    </row>
    <row r="757" spans="1:26" x14ac:dyDescent="0.2">
      <c r="A757" t="s">
        <v>1475</v>
      </c>
      <c r="B757" t="s">
        <v>266</v>
      </c>
      <c r="C757" t="s">
        <v>74</v>
      </c>
      <c r="D757" t="s">
        <v>75</v>
      </c>
      <c r="E757" t="s">
        <v>307</v>
      </c>
      <c r="F757" t="s">
        <v>120</v>
      </c>
      <c r="G757" t="s">
        <v>65</v>
      </c>
      <c r="H757" t="s">
        <v>66</v>
      </c>
      <c r="I757" t="s">
        <v>148</v>
      </c>
      <c r="J757" s="3">
        <v>44205</v>
      </c>
      <c r="K757">
        <v>5</v>
      </c>
      <c r="L757">
        <v>24</v>
      </c>
      <c r="M757" s="4">
        <v>7900</v>
      </c>
      <c r="N757" s="4">
        <v>123308</v>
      </c>
      <c r="O757" t="s">
        <v>68</v>
      </c>
      <c r="P757" t="s">
        <v>68</v>
      </c>
      <c r="Q757">
        <v>2.84</v>
      </c>
      <c r="R757">
        <v>71</v>
      </c>
      <c r="S757">
        <v>38</v>
      </c>
      <c r="T757" t="s">
        <v>69</v>
      </c>
      <c r="U757">
        <v>7</v>
      </c>
      <c r="V757">
        <v>40</v>
      </c>
      <c r="W757" t="s">
        <v>70</v>
      </c>
      <c r="X757" t="s">
        <v>68</v>
      </c>
      <c r="Y757" t="s">
        <v>71</v>
      </c>
      <c r="Z757" t="s">
        <v>74</v>
      </c>
    </row>
    <row r="758" spans="1:26" x14ac:dyDescent="0.2">
      <c r="A758" t="s">
        <v>1476</v>
      </c>
      <c r="B758" t="s">
        <v>830</v>
      </c>
      <c r="C758" t="s">
        <v>133</v>
      </c>
      <c r="D758" t="s">
        <v>134</v>
      </c>
      <c r="E758" t="s">
        <v>822</v>
      </c>
      <c r="F758" t="s">
        <v>64</v>
      </c>
      <c r="G758" t="s">
        <v>215</v>
      </c>
      <c r="H758" t="s">
        <v>78</v>
      </c>
      <c r="I758" t="s">
        <v>67</v>
      </c>
      <c r="J758" s="3">
        <v>43678</v>
      </c>
      <c r="K758">
        <v>6.4</v>
      </c>
      <c r="L758">
        <v>40</v>
      </c>
      <c r="M758" s="4">
        <v>7300</v>
      </c>
      <c r="N758" s="4">
        <v>120790</v>
      </c>
      <c r="O758" t="s">
        <v>68</v>
      </c>
      <c r="P758" t="s">
        <v>69</v>
      </c>
      <c r="Q758">
        <v>2.46</v>
      </c>
      <c r="R758">
        <v>58</v>
      </c>
      <c r="S758">
        <v>20</v>
      </c>
      <c r="T758" t="s">
        <v>69</v>
      </c>
      <c r="U758">
        <v>2</v>
      </c>
      <c r="V758">
        <v>0</v>
      </c>
      <c r="W758" t="s">
        <v>70</v>
      </c>
      <c r="X758" t="s">
        <v>68</v>
      </c>
      <c r="Y758" t="s">
        <v>71</v>
      </c>
      <c r="Z758" t="s">
        <v>133</v>
      </c>
    </row>
    <row r="759" spans="1:26" x14ac:dyDescent="0.2">
      <c r="A759" t="s">
        <v>1477</v>
      </c>
      <c r="B759" t="s">
        <v>740</v>
      </c>
      <c r="C759" t="s">
        <v>133</v>
      </c>
      <c r="D759" t="s">
        <v>15</v>
      </c>
      <c r="E759" t="s">
        <v>1315</v>
      </c>
      <c r="F759" t="s">
        <v>84</v>
      </c>
      <c r="G759" t="s">
        <v>65</v>
      </c>
      <c r="H759" t="s">
        <v>78</v>
      </c>
      <c r="I759" t="s">
        <v>67</v>
      </c>
      <c r="J759" s="3">
        <v>45853</v>
      </c>
      <c r="K759">
        <v>0.5</v>
      </c>
      <c r="L759">
        <v>29</v>
      </c>
      <c r="M759" s="4">
        <v>22500</v>
      </c>
      <c r="N759" s="4">
        <v>341618</v>
      </c>
      <c r="O759" t="s">
        <v>69</v>
      </c>
      <c r="P759" t="s">
        <v>68</v>
      </c>
      <c r="Q759">
        <v>3.2</v>
      </c>
      <c r="R759">
        <v>60</v>
      </c>
      <c r="S759">
        <v>41</v>
      </c>
      <c r="T759" t="s">
        <v>69</v>
      </c>
      <c r="U759">
        <v>3</v>
      </c>
      <c r="V759">
        <v>0</v>
      </c>
      <c r="W759" t="s">
        <v>69</v>
      </c>
      <c r="X759" t="s">
        <v>68</v>
      </c>
      <c r="Y759" t="s">
        <v>71</v>
      </c>
      <c r="Z759" t="s">
        <v>133</v>
      </c>
    </row>
    <row r="760" spans="1:26" x14ac:dyDescent="0.2">
      <c r="A760" t="s">
        <v>1478</v>
      </c>
      <c r="B760" t="s">
        <v>1065</v>
      </c>
      <c r="C760" t="s">
        <v>89</v>
      </c>
      <c r="D760" t="s">
        <v>154</v>
      </c>
      <c r="E760" t="s">
        <v>650</v>
      </c>
      <c r="F760" t="s">
        <v>77</v>
      </c>
      <c r="G760" t="s">
        <v>65</v>
      </c>
      <c r="H760" t="s">
        <v>78</v>
      </c>
      <c r="I760" t="s">
        <v>148</v>
      </c>
      <c r="J760" s="3">
        <v>43095</v>
      </c>
      <c r="K760">
        <v>8</v>
      </c>
      <c r="L760">
        <v>58</v>
      </c>
      <c r="M760" s="4">
        <v>10200</v>
      </c>
      <c r="N760" s="4">
        <v>168456</v>
      </c>
      <c r="O760" t="s">
        <v>68</v>
      </c>
      <c r="P760" t="s">
        <v>69</v>
      </c>
      <c r="Q760">
        <v>2.7</v>
      </c>
      <c r="R760">
        <v>52</v>
      </c>
      <c r="S760">
        <v>32</v>
      </c>
      <c r="T760" t="s">
        <v>69</v>
      </c>
      <c r="U760">
        <v>7</v>
      </c>
      <c r="V760">
        <v>40</v>
      </c>
      <c r="W760" t="s">
        <v>70</v>
      </c>
      <c r="X760" t="s">
        <v>68</v>
      </c>
      <c r="Y760" t="s">
        <v>86</v>
      </c>
      <c r="Z760" t="s">
        <v>89</v>
      </c>
    </row>
    <row r="761" spans="1:26" x14ac:dyDescent="0.2">
      <c r="A761" t="s">
        <v>1479</v>
      </c>
      <c r="B761" t="s">
        <v>740</v>
      </c>
      <c r="C761" t="s">
        <v>89</v>
      </c>
      <c r="D761" t="s">
        <v>239</v>
      </c>
      <c r="E761" t="s">
        <v>261</v>
      </c>
      <c r="F761" t="s">
        <v>64</v>
      </c>
      <c r="G761" t="s">
        <v>65</v>
      </c>
      <c r="H761" t="s">
        <v>66</v>
      </c>
      <c r="I761" t="s">
        <v>115</v>
      </c>
      <c r="J761" s="3">
        <v>42187</v>
      </c>
      <c r="K761">
        <v>10.5</v>
      </c>
      <c r="L761">
        <v>48</v>
      </c>
      <c r="M761" s="4">
        <v>4900</v>
      </c>
      <c r="N761" s="4">
        <v>71422</v>
      </c>
      <c r="O761" t="s">
        <v>68</v>
      </c>
      <c r="P761" t="s">
        <v>69</v>
      </c>
      <c r="Q761">
        <v>2.2400000000000002</v>
      </c>
      <c r="R761">
        <v>43</v>
      </c>
      <c r="S761">
        <v>39</v>
      </c>
      <c r="T761" t="s">
        <v>69</v>
      </c>
      <c r="U761">
        <v>3</v>
      </c>
      <c r="V761">
        <v>48</v>
      </c>
      <c r="W761" t="s">
        <v>70</v>
      </c>
      <c r="X761" t="s">
        <v>68</v>
      </c>
      <c r="Y761" t="s">
        <v>366</v>
      </c>
      <c r="Z761" t="s">
        <v>89</v>
      </c>
    </row>
    <row r="762" spans="1:26" x14ac:dyDescent="0.2">
      <c r="A762" t="s">
        <v>1480</v>
      </c>
      <c r="B762" t="s">
        <v>281</v>
      </c>
      <c r="C762" t="s">
        <v>61</v>
      </c>
      <c r="D762" t="s">
        <v>177</v>
      </c>
      <c r="E762" t="s">
        <v>925</v>
      </c>
      <c r="F762" t="s">
        <v>64</v>
      </c>
      <c r="G762" t="s">
        <v>85</v>
      </c>
      <c r="H762" t="s">
        <v>66</v>
      </c>
      <c r="I762" t="s">
        <v>67</v>
      </c>
      <c r="J762" s="3">
        <v>41953</v>
      </c>
      <c r="K762">
        <v>11.2</v>
      </c>
      <c r="L762">
        <v>36</v>
      </c>
      <c r="M762" s="4">
        <v>6000</v>
      </c>
      <c r="N762" s="4">
        <v>94426</v>
      </c>
      <c r="O762" t="s">
        <v>68</v>
      </c>
      <c r="P762" t="s">
        <v>69</v>
      </c>
      <c r="Q762">
        <v>2.93</v>
      </c>
      <c r="R762">
        <v>60</v>
      </c>
      <c r="S762">
        <v>31</v>
      </c>
      <c r="T762" t="s">
        <v>69</v>
      </c>
      <c r="U762">
        <v>1</v>
      </c>
      <c r="V762">
        <v>14</v>
      </c>
      <c r="W762" t="s">
        <v>70</v>
      </c>
      <c r="X762" t="s">
        <v>68</v>
      </c>
      <c r="Y762" t="s">
        <v>86</v>
      </c>
      <c r="Z762" t="s">
        <v>61</v>
      </c>
    </row>
    <row r="763" spans="1:26" x14ac:dyDescent="0.2">
      <c r="A763" t="s">
        <v>1481</v>
      </c>
      <c r="B763" t="s">
        <v>426</v>
      </c>
      <c r="C763" t="s">
        <v>74</v>
      </c>
      <c r="D763" t="s">
        <v>118</v>
      </c>
      <c r="E763" t="s">
        <v>119</v>
      </c>
      <c r="F763" t="s">
        <v>120</v>
      </c>
      <c r="G763" t="s">
        <v>65</v>
      </c>
      <c r="H763" t="s">
        <v>78</v>
      </c>
      <c r="I763" t="s">
        <v>79</v>
      </c>
      <c r="J763" s="3">
        <v>42308</v>
      </c>
      <c r="K763">
        <v>10.199999999999999</v>
      </c>
      <c r="L763">
        <v>58</v>
      </c>
      <c r="M763" s="4">
        <v>9800</v>
      </c>
      <c r="N763" s="4">
        <v>153166</v>
      </c>
      <c r="O763" t="s">
        <v>68</v>
      </c>
      <c r="P763" t="s">
        <v>68</v>
      </c>
      <c r="Q763">
        <v>3.11</v>
      </c>
      <c r="R763">
        <v>51</v>
      </c>
      <c r="S763">
        <v>20</v>
      </c>
      <c r="T763" t="s">
        <v>69</v>
      </c>
      <c r="U763">
        <v>5</v>
      </c>
      <c r="V763">
        <v>56</v>
      </c>
      <c r="W763" t="s">
        <v>70</v>
      </c>
      <c r="X763" t="s">
        <v>68</v>
      </c>
      <c r="Y763" t="s">
        <v>86</v>
      </c>
      <c r="Z763" t="s">
        <v>74</v>
      </c>
    </row>
    <row r="764" spans="1:26" x14ac:dyDescent="0.2">
      <c r="A764" t="s">
        <v>1482</v>
      </c>
      <c r="B764" t="s">
        <v>642</v>
      </c>
      <c r="C764" t="s">
        <v>12</v>
      </c>
      <c r="D764" t="s">
        <v>421</v>
      </c>
      <c r="E764" t="s">
        <v>492</v>
      </c>
      <c r="F764" t="s">
        <v>120</v>
      </c>
      <c r="G764" t="s">
        <v>65</v>
      </c>
      <c r="H764" t="s">
        <v>78</v>
      </c>
      <c r="I764" t="s">
        <v>79</v>
      </c>
      <c r="J764" s="3">
        <v>40947</v>
      </c>
      <c r="K764">
        <v>13.9</v>
      </c>
      <c r="L764">
        <v>24</v>
      </c>
      <c r="M764" s="4">
        <v>9700</v>
      </c>
      <c r="N764" s="4">
        <v>158745</v>
      </c>
      <c r="O764" t="s">
        <v>68</v>
      </c>
      <c r="P764" t="s">
        <v>68</v>
      </c>
      <c r="Q764">
        <v>2.97</v>
      </c>
      <c r="R764">
        <v>72</v>
      </c>
      <c r="S764">
        <v>26</v>
      </c>
      <c r="T764" t="s">
        <v>69</v>
      </c>
      <c r="U764">
        <v>0</v>
      </c>
      <c r="V764">
        <v>23</v>
      </c>
      <c r="W764" t="s">
        <v>70</v>
      </c>
      <c r="X764" t="s">
        <v>68</v>
      </c>
      <c r="Y764" t="s">
        <v>71</v>
      </c>
      <c r="Z764" t="s">
        <v>12</v>
      </c>
    </row>
    <row r="765" spans="1:26" x14ac:dyDescent="0.2">
      <c r="A765" t="s">
        <v>1483</v>
      </c>
      <c r="B765" t="s">
        <v>1484</v>
      </c>
      <c r="C765" t="s">
        <v>89</v>
      </c>
      <c r="D765" t="s">
        <v>154</v>
      </c>
      <c r="E765" t="s">
        <v>155</v>
      </c>
      <c r="F765" t="s">
        <v>120</v>
      </c>
      <c r="G765" t="s">
        <v>65</v>
      </c>
      <c r="H765" t="s">
        <v>66</v>
      </c>
      <c r="I765" t="s">
        <v>148</v>
      </c>
      <c r="J765" s="3">
        <v>40968</v>
      </c>
      <c r="K765">
        <v>13.8</v>
      </c>
      <c r="L765">
        <v>50</v>
      </c>
      <c r="M765" s="4">
        <v>8200</v>
      </c>
      <c r="N765" s="4">
        <v>123497</v>
      </c>
      <c r="O765" t="s">
        <v>68</v>
      </c>
      <c r="P765" t="s">
        <v>69</v>
      </c>
      <c r="Q765">
        <v>3.32</v>
      </c>
      <c r="R765">
        <v>65</v>
      </c>
      <c r="S765">
        <v>20</v>
      </c>
      <c r="T765" t="s">
        <v>69</v>
      </c>
      <c r="U765">
        <v>4</v>
      </c>
      <c r="V765">
        <v>25</v>
      </c>
      <c r="W765" t="s">
        <v>70</v>
      </c>
      <c r="X765" t="s">
        <v>68</v>
      </c>
      <c r="Y765" t="s">
        <v>71</v>
      </c>
      <c r="Z765" t="s">
        <v>89</v>
      </c>
    </row>
    <row r="766" spans="1:26" x14ac:dyDescent="0.2">
      <c r="A766" t="s">
        <v>1485</v>
      </c>
      <c r="B766" t="s">
        <v>764</v>
      </c>
      <c r="C766" t="s">
        <v>89</v>
      </c>
      <c r="D766" t="s">
        <v>239</v>
      </c>
      <c r="E766" t="s">
        <v>384</v>
      </c>
      <c r="F766" t="s">
        <v>136</v>
      </c>
      <c r="G766" t="s">
        <v>65</v>
      </c>
      <c r="H766" t="s">
        <v>66</v>
      </c>
      <c r="I766" t="s">
        <v>111</v>
      </c>
      <c r="J766" s="3">
        <v>42396</v>
      </c>
      <c r="K766">
        <v>9.9</v>
      </c>
      <c r="L766">
        <v>34</v>
      </c>
      <c r="M766" s="4">
        <v>12400</v>
      </c>
      <c r="N766" s="4">
        <v>184184</v>
      </c>
      <c r="O766" t="s">
        <v>68</v>
      </c>
      <c r="P766" t="s">
        <v>69</v>
      </c>
      <c r="Q766">
        <v>2.5099999999999998</v>
      </c>
      <c r="R766">
        <v>54</v>
      </c>
      <c r="S766">
        <v>41</v>
      </c>
      <c r="T766" t="s">
        <v>69</v>
      </c>
      <c r="U766">
        <v>1</v>
      </c>
      <c r="V766">
        <v>17</v>
      </c>
      <c r="W766" t="s">
        <v>70</v>
      </c>
      <c r="X766" t="s">
        <v>68</v>
      </c>
      <c r="Y766" t="s">
        <v>71</v>
      </c>
      <c r="Z766" t="s">
        <v>89</v>
      </c>
    </row>
    <row r="767" spans="1:26" x14ac:dyDescent="0.2">
      <c r="A767" t="s">
        <v>1486</v>
      </c>
      <c r="B767" t="s">
        <v>685</v>
      </c>
      <c r="C767" t="s">
        <v>108</v>
      </c>
      <c r="D767" t="s">
        <v>222</v>
      </c>
      <c r="E767" t="s">
        <v>223</v>
      </c>
      <c r="F767" t="s">
        <v>92</v>
      </c>
      <c r="G767" t="s">
        <v>215</v>
      </c>
      <c r="H767" t="s">
        <v>66</v>
      </c>
      <c r="I767" t="s">
        <v>67</v>
      </c>
      <c r="J767" s="3">
        <v>44321</v>
      </c>
      <c r="K767">
        <v>4.7</v>
      </c>
      <c r="L767">
        <v>54</v>
      </c>
      <c r="M767" s="4">
        <v>3400</v>
      </c>
      <c r="N767" s="4">
        <v>53611</v>
      </c>
      <c r="O767" t="s">
        <v>68</v>
      </c>
      <c r="P767" t="s">
        <v>69</v>
      </c>
      <c r="Q767">
        <v>3.82</v>
      </c>
      <c r="R767">
        <v>72</v>
      </c>
      <c r="S767">
        <v>42</v>
      </c>
      <c r="T767" t="s">
        <v>69</v>
      </c>
      <c r="U767">
        <v>2</v>
      </c>
      <c r="V767">
        <v>14</v>
      </c>
      <c r="W767" t="s">
        <v>70</v>
      </c>
      <c r="X767" t="s">
        <v>69</v>
      </c>
      <c r="Y767" t="s">
        <v>71</v>
      </c>
      <c r="Z767" t="s">
        <v>108</v>
      </c>
    </row>
    <row r="768" spans="1:26" x14ac:dyDescent="0.2">
      <c r="A768" t="s">
        <v>1487</v>
      </c>
      <c r="B768" t="s">
        <v>1108</v>
      </c>
      <c r="C768" t="s">
        <v>102</v>
      </c>
      <c r="D768" t="s">
        <v>183</v>
      </c>
      <c r="E768" t="s">
        <v>965</v>
      </c>
      <c r="F768" t="s">
        <v>136</v>
      </c>
      <c r="G768" t="s">
        <v>85</v>
      </c>
      <c r="H768" t="s">
        <v>78</v>
      </c>
      <c r="I768" t="s">
        <v>67</v>
      </c>
      <c r="J768" s="3">
        <v>42508</v>
      </c>
      <c r="K768">
        <v>9.6</v>
      </c>
      <c r="L768">
        <v>28</v>
      </c>
      <c r="M768" s="4">
        <v>14000</v>
      </c>
      <c r="N768" s="4">
        <v>215728</v>
      </c>
      <c r="O768" t="s">
        <v>68</v>
      </c>
      <c r="P768" t="s">
        <v>69</v>
      </c>
      <c r="Q768">
        <v>3.05</v>
      </c>
      <c r="R768">
        <v>63</v>
      </c>
      <c r="S768">
        <v>0</v>
      </c>
      <c r="T768" t="s">
        <v>69</v>
      </c>
      <c r="U768">
        <v>7</v>
      </c>
      <c r="V768">
        <v>27</v>
      </c>
      <c r="W768" t="s">
        <v>70</v>
      </c>
      <c r="X768" t="s">
        <v>68</v>
      </c>
      <c r="Y768" t="s">
        <v>71</v>
      </c>
      <c r="Z768" t="s">
        <v>102</v>
      </c>
    </row>
    <row r="769" spans="1:26" x14ac:dyDescent="0.2">
      <c r="A769" t="s">
        <v>1488</v>
      </c>
      <c r="B769" t="s">
        <v>791</v>
      </c>
      <c r="C769" t="s">
        <v>102</v>
      </c>
      <c r="D769" t="s">
        <v>103</v>
      </c>
      <c r="E769" t="s">
        <v>279</v>
      </c>
      <c r="F769" t="s">
        <v>64</v>
      </c>
      <c r="G769" t="s">
        <v>85</v>
      </c>
      <c r="H769" t="s">
        <v>78</v>
      </c>
      <c r="I769" t="s">
        <v>148</v>
      </c>
      <c r="J769" s="3">
        <v>45206</v>
      </c>
      <c r="K769">
        <v>2.2000000000000002</v>
      </c>
      <c r="L769">
        <v>39</v>
      </c>
      <c r="M769" s="4">
        <v>5500</v>
      </c>
      <c r="N769" s="4">
        <v>87717</v>
      </c>
      <c r="O769" t="s">
        <v>68</v>
      </c>
      <c r="P769" t="s">
        <v>69</v>
      </c>
      <c r="Q769">
        <v>3.05</v>
      </c>
      <c r="R769">
        <v>77</v>
      </c>
      <c r="S769">
        <v>30</v>
      </c>
      <c r="T769" t="s">
        <v>69</v>
      </c>
      <c r="U769">
        <v>10</v>
      </c>
      <c r="V769">
        <v>23</v>
      </c>
      <c r="W769" t="s">
        <v>70</v>
      </c>
      <c r="X769" t="s">
        <v>68</v>
      </c>
      <c r="Y769" t="s">
        <v>71</v>
      </c>
      <c r="Z769" t="s">
        <v>102</v>
      </c>
    </row>
    <row r="770" spans="1:26" x14ac:dyDescent="0.2">
      <c r="A770" t="s">
        <v>1489</v>
      </c>
      <c r="B770" t="s">
        <v>1301</v>
      </c>
      <c r="C770" t="s">
        <v>108</v>
      </c>
      <c r="D770" t="s">
        <v>222</v>
      </c>
      <c r="E770" t="s">
        <v>223</v>
      </c>
      <c r="F770" t="s">
        <v>92</v>
      </c>
      <c r="G770" t="s">
        <v>65</v>
      </c>
      <c r="H770" t="s">
        <v>78</v>
      </c>
      <c r="I770" t="s">
        <v>67</v>
      </c>
      <c r="J770" s="3">
        <v>42770</v>
      </c>
      <c r="K770">
        <v>8.9</v>
      </c>
      <c r="L770">
        <v>41</v>
      </c>
      <c r="M770" s="4">
        <v>5400</v>
      </c>
      <c r="N770" s="4">
        <v>76731</v>
      </c>
      <c r="O770" t="s">
        <v>68</v>
      </c>
      <c r="P770" t="s">
        <v>69</v>
      </c>
      <c r="Q770">
        <v>2.79</v>
      </c>
      <c r="R770">
        <v>77</v>
      </c>
      <c r="S770">
        <v>12</v>
      </c>
      <c r="T770" t="s">
        <v>69</v>
      </c>
      <c r="U770">
        <v>13</v>
      </c>
      <c r="V770">
        <v>36</v>
      </c>
      <c r="W770" t="s">
        <v>70</v>
      </c>
      <c r="X770" t="s">
        <v>68</v>
      </c>
      <c r="Y770" t="s">
        <v>71</v>
      </c>
      <c r="Z770" t="s">
        <v>108</v>
      </c>
    </row>
    <row r="771" spans="1:26" x14ac:dyDescent="0.2">
      <c r="A771" t="s">
        <v>1490</v>
      </c>
      <c r="B771" t="s">
        <v>646</v>
      </c>
      <c r="C771" t="s">
        <v>89</v>
      </c>
      <c r="D771" t="s">
        <v>154</v>
      </c>
      <c r="E771" t="s">
        <v>325</v>
      </c>
      <c r="F771" t="s">
        <v>64</v>
      </c>
      <c r="G771" t="s">
        <v>215</v>
      </c>
      <c r="H771" t="s">
        <v>66</v>
      </c>
      <c r="I771" t="s">
        <v>111</v>
      </c>
      <c r="J771" s="3">
        <v>42654</v>
      </c>
      <c r="K771">
        <v>9.1999999999999993</v>
      </c>
      <c r="L771">
        <v>53</v>
      </c>
      <c r="M771" s="4">
        <v>6100</v>
      </c>
      <c r="N771" s="4">
        <v>100562</v>
      </c>
      <c r="O771" t="s">
        <v>68</v>
      </c>
      <c r="P771" t="s">
        <v>69</v>
      </c>
      <c r="Q771">
        <v>3.6</v>
      </c>
      <c r="R771">
        <v>66</v>
      </c>
      <c r="S771">
        <v>14</v>
      </c>
      <c r="T771" t="s">
        <v>69</v>
      </c>
      <c r="U771">
        <v>4</v>
      </c>
      <c r="V771">
        <v>42</v>
      </c>
      <c r="W771" t="s">
        <v>70</v>
      </c>
      <c r="X771" t="s">
        <v>69</v>
      </c>
      <c r="Y771" t="s">
        <v>86</v>
      </c>
      <c r="Z771" t="s">
        <v>89</v>
      </c>
    </row>
    <row r="772" spans="1:26" x14ac:dyDescent="0.2">
      <c r="A772" t="s">
        <v>1491</v>
      </c>
      <c r="B772" t="s">
        <v>884</v>
      </c>
      <c r="C772" t="s">
        <v>102</v>
      </c>
      <c r="D772" t="s">
        <v>103</v>
      </c>
      <c r="E772" t="s">
        <v>1215</v>
      </c>
      <c r="F772" t="s">
        <v>84</v>
      </c>
      <c r="G772" t="s">
        <v>65</v>
      </c>
      <c r="H772" t="s">
        <v>66</v>
      </c>
      <c r="I772" t="s">
        <v>99</v>
      </c>
      <c r="J772" s="3">
        <v>42397</v>
      </c>
      <c r="K772">
        <v>9.9</v>
      </c>
      <c r="L772">
        <v>55</v>
      </c>
      <c r="M772" s="4">
        <v>19500</v>
      </c>
      <c r="N772" s="4">
        <v>321626</v>
      </c>
      <c r="O772" t="s">
        <v>69</v>
      </c>
      <c r="P772" t="s">
        <v>69</v>
      </c>
      <c r="Q772">
        <v>2.89</v>
      </c>
      <c r="R772">
        <v>48</v>
      </c>
      <c r="S772">
        <v>42</v>
      </c>
      <c r="T772" t="s">
        <v>69</v>
      </c>
      <c r="U772">
        <v>3</v>
      </c>
      <c r="V772">
        <v>19</v>
      </c>
      <c r="W772" t="s">
        <v>68</v>
      </c>
      <c r="X772" t="s">
        <v>68</v>
      </c>
      <c r="Y772" t="s">
        <v>86</v>
      </c>
      <c r="Z772" t="s">
        <v>102</v>
      </c>
    </row>
    <row r="773" spans="1:26" x14ac:dyDescent="0.2">
      <c r="A773" t="s">
        <v>1492</v>
      </c>
      <c r="B773" t="s">
        <v>678</v>
      </c>
      <c r="C773" t="s">
        <v>96</v>
      </c>
      <c r="D773" t="s">
        <v>129</v>
      </c>
      <c r="E773" t="s">
        <v>562</v>
      </c>
      <c r="F773" t="s">
        <v>77</v>
      </c>
      <c r="G773" t="s">
        <v>85</v>
      </c>
      <c r="H773" t="s">
        <v>66</v>
      </c>
      <c r="I773" t="s">
        <v>111</v>
      </c>
      <c r="J773" s="3">
        <v>45005</v>
      </c>
      <c r="K773">
        <v>2.8</v>
      </c>
      <c r="L773">
        <v>42</v>
      </c>
      <c r="M773" s="4">
        <v>11600</v>
      </c>
      <c r="N773" s="4">
        <v>178789</v>
      </c>
      <c r="O773" t="s">
        <v>69</v>
      </c>
      <c r="P773" t="s">
        <v>69</v>
      </c>
      <c r="Q773">
        <v>2.86</v>
      </c>
      <c r="R773">
        <v>76</v>
      </c>
      <c r="S773">
        <v>19</v>
      </c>
      <c r="T773" t="s">
        <v>68</v>
      </c>
      <c r="U773">
        <v>5</v>
      </c>
      <c r="V773">
        <v>12</v>
      </c>
      <c r="W773" t="s">
        <v>69</v>
      </c>
      <c r="X773" t="s">
        <v>68</v>
      </c>
      <c r="Y773" t="s">
        <v>71</v>
      </c>
      <c r="Z773" t="s">
        <v>96</v>
      </c>
    </row>
    <row r="774" spans="1:26" x14ac:dyDescent="0.2">
      <c r="A774" t="s">
        <v>1493</v>
      </c>
      <c r="B774" t="s">
        <v>480</v>
      </c>
      <c r="C774" t="s">
        <v>96</v>
      </c>
      <c r="D774" t="s">
        <v>162</v>
      </c>
      <c r="E774" t="s">
        <v>403</v>
      </c>
      <c r="F774" t="s">
        <v>84</v>
      </c>
      <c r="G774" t="s">
        <v>85</v>
      </c>
      <c r="H774" t="s">
        <v>66</v>
      </c>
      <c r="I774" t="s">
        <v>99</v>
      </c>
      <c r="J774" s="3">
        <v>42264</v>
      </c>
      <c r="K774">
        <v>10.3</v>
      </c>
      <c r="L774">
        <v>22</v>
      </c>
      <c r="M774" s="4">
        <v>17600</v>
      </c>
      <c r="N774" s="4">
        <v>250147</v>
      </c>
      <c r="O774" t="s">
        <v>69</v>
      </c>
      <c r="P774" t="s">
        <v>69</v>
      </c>
      <c r="Q774">
        <v>2.87</v>
      </c>
      <c r="R774">
        <v>57</v>
      </c>
      <c r="S774">
        <v>35</v>
      </c>
      <c r="T774" t="s">
        <v>69</v>
      </c>
      <c r="U774">
        <v>11</v>
      </c>
      <c r="V774">
        <v>8</v>
      </c>
      <c r="W774" t="s">
        <v>68</v>
      </c>
      <c r="X774" t="s">
        <v>68</v>
      </c>
      <c r="Y774" t="s">
        <v>71</v>
      </c>
      <c r="Z774" t="s">
        <v>96</v>
      </c>
    </row>
    <row r="775" spans="1:26" x14ac:dyDescent="0.2">
      <c r="A775" t="s">
        <v>1494</v>
      </c>
      <c r="B775" t="s">
        <v>260</v>
      </c>
      <c r="C775" t="s">
        <v>89</v>
      </c>
      <c r="D775" t="s">
        <v>230</v>
      </c>
      <c r="E775" t="s">
        <v>549</v>
      </c>
      <c r="F775" t="s">
        <v>120</v>
      </c>
      <c r="G775" t="s">
        <v>65</v>
      </c>
      <c r="H775" t="s">
        <v>66</v>
      </c>
      <c r="I775" t="s">
        <v>79</v>
      </c>
      <c r="J775" s="3">
        <v>40926</v>
      </c>
      <c r="K775">
        <v>14</v>
      </c>
      <c r="L775">
        <v>36</v>
      </c>
      <c r="M775" s="4">
        <v>8700</v>
      </c>
      <c r="N775" s="4">
        <v>141660</v>
      </c>
      <c r="O775" t="s">
        <v>68</v>
      </c>
      <c r="P775" t="s">
        <v>69</v>
      </c>
      <c r="Q775">
        <v>2.97</v>
      </c>
      <c r="R775">
        <v>53</v>
      </c>
      <c r="S775">
        <v>19</v>
      </c>
      <c r="T775" t="s">
        <v>69</v>
      </c>
      <c r="U775">
        <v>4</v>
      </c>
      <c r="V775">
        <v>36</v>
      </c>
      <c r="W775" t="s">
        <v>70</v>
      </c>
      <c r="X775" t="s">
        <v>68</v>
      </c>
      <c r="Y775" t="s">
        <v>86</v>
      </c>
      <c r="Z775" t="s">
        <v>89</v>
      </c>
    </row>
    <row r="776" spans="1:26" x14ac:dyDescent="0.2">
      <c r="A776" t="s">
        <v>1495</v>
      </c>
      <c r="B776" t="s">
        <v>1184</v>
      </c>
      <c r="C776" t="s">
        <v>108</v>
      </c>
      <c r="D776" t="s">
        <v>109</v>
      </c>
      <c r="E776" t="s">
        <v>264</v>
      </c>
      <c r="F776" t="s">
        <v>64</v>
      </c>
      <c r="G776" t="s">
        <v>65</v>
      </c>
      <c r="H776" t="s">
        <v>66</v>
      </c>
      <c r="I776" t="s">
        <v>93</v>
      </c>
      <c r="J776" s="3">
        <v>43811</v>
      </c>
      <c r="K776">
        <v>6.1</v>
      </c>
      <c r="L776">
        <v>40</v>
      </c>
      <c r="M776" s="4">
        <v>6900</v>
      </c>
      <c r="N776" s="4">
        <v>114004</v>
      </c>
      <c r="O776" t="s">
        <v>68</v>
      </c>
      <c r="P776" t="s">
        <v>69</v>
      </c>
      <c r="Q776">
        <v>2.92</v>
      </c>
      <c r="R776">
        <v>69</v>
      </c>
      <c r="S776">
        <v>17</v>
      </c>
      <c r="T776" t="s">
        <v>69</v>
      </c>
      <c r="U776">
        <v>5</v>
      </c>
      <c r="V776">
        <v>12</v>
      </c>
      <c r="W776" t="s">
        <v>70</v>
      </c>
      <c r="X776" t="s">
        <v>68</v>
      </c>
      <c r="Y776" t="s">
        <v>71</v>
      </c>
      <c r="Z776" t="s">
        <v>108</v>
      </c>
    </row>
    <row r="777" spans="1:26" x14ac:dyDescent="0.2">
      <c r="A777" t="s">
        <v>1496</v>
      </c>
      <c r="B777" t="s">
        <v>1497</v>
      </c>
      <c r="C777" t="s">
        <v>89</v>
      </c>
      <c r="D777" t="s">
        <v>154</v>
      </c>
      <c r="E777" t="s">
        <v>155</v>
      </c>
      <c r="F777" t="s">
        <v>120</v>
      </c>
      <c r="G777" t="s">
        <v>65</v>
      </c>
      <c r="H777" t="s">
        <v>78</v>
      </c>
      <c r="I777" t="s">
        <v>99</v>
      </c>
      <c r="J777" s="3">
        <v>42884</v>
      </c>
      <c r="K777">
        <v>8.6</v>
      </c>
      <c r="L777">
        <v>56</v>
      </c>
      <c r="M777" s="4">
        <v>8000</v>
      </c>
      <c r="N777" s="4">
        <v>125065</v>
      </c>
      <c r="O777" t="s">
        <v>68</v>
      </c>
      <c r="P777" t="s">
        <v>69</v>
      </c>
      <c r="Q777">
        <v>2.7</v>
      </c>
      <c r="R777">
        <v>72</v>
      </c>
      <c r="S777">
        <v>12</v>
      </c>
      <c r="T777" t="s">
        <v>69</v>
      </c>
      <c r="U777">
        <v>12</v>
      </c>
      <c r="V777">
        <v>6</v>
      </c>
      <c r="W777" t="s">
        <v>70</v>
      </c>
      <c r="X777" t="s">
        <v>68</v>
      </c>
      <c r="Y777" t="s">
        <v>71</v>
      </c>
      <c r="Z777" t="s">
        <v>89</v>
      </c>
    </row>
    <row r="778" spans="1:26" x14ac:dyDescent="0.2">
      <c r="A778" t="s">
        <v>1498</v>
      </c>
      <c r="B778" t="s">
        <v>212</v>
      </c>
      <c r="C778" t="s">
        <v>108</v>
      </c>
      <c r="D778" t="s">
        <v>222</v>
      </c>
      <c r="E778" t="s">
        <v>375</v>
      </c>
      <c r="F778" t="s">
        <v>84</v>
      </c>
      <c r="G778" t="s">
        <v>65</v>
      </c>
      <c r="H778" t="s">
        <v>66</v>
      </c>
      <c r="I778" t="s">
        <v>67</v>
      </c>
      <c r="J778" s="3">
        <v>42766</v>
      </c>
      <c r="K778">
        <v>8.9</v>
      </c>
      <c r="L778">
        <v>57</v>
      </c>
      <c r="M778" s="4">
        <v>18600</v>
      </c>
      <c r="N778" s="4">
        <v>271063</v>
      </c>
      <c r="O778" t="s">
        <v>69</v>
      </c>
      <c r="P778" t="s">
        <v>69</v>
      </c>
      <c r="Q778">
        <v>3.01</v>
      </c>
      <c r="R778">
        <v>62</v>
      </c>
      <c r="S778">
        <v>27</v>
      </c>
      <c r="T778" t="s">
        <v>69</v>
      </c>
      <c r="U778">
        <v>0</v>
      </c>
      <c r="V778">
        <v>33</v>
      </c>
      <c r="W778" t="s">
        <v>68</v>
      </c>
      <c r="X778" t="s">
        <v>68</v>
      </c>
      <c r="Y778" t="s">
        <v>71</v>
      </c>
      <c r="Z778" t="s">
        <v>108</v>
      </c>
    </row>
    <row r="779" spans="1:26" x14ac:dyDescent="0.2">
      <c r="A779" t="s">
        <v>1499</v>
      </c>
      <c r="B779" t="s">
        <v>1500</v>
      </c>
      <c r="C779" t="s">
        <v>96</v>
      </c>
      <c r="D779" t="s">
        <v>162</v>
      </c>
      <c r="E779" t="s">
        <v>632</v>
      </c>
      <c r="F779" t="s">
        <v>120</v>
      </c>
      <c r="G779" t="s">
        <v>65</v>
      </c>
      <c r="H779" t="s">
        <v>66</v>
      </c>
      <c r="I779" t="s">
        <v>148</v>
      </c>
      <c r="J779" s="3">
        <v>42118</v>
      </c>
      <c r="K779">
        <v>10.7</v>
      </c>
      <c r="L779">
        <v>24</v>
      </c>
      <c r="M779" s="4">
        <v>9100</v>
      </c>
      <c r="N779" s="4">
        <v>144175</v>
      </c>
      <c r="O779" t="s">
        <v>68</v>
      </c>
      <c r="P779" t="s">
        <v>69</v>
      </c>
      <c r="Q779">
        <v>2.2599999999999998</v>
      </c>
      <c r="R779">
        <v>56</v>
      </c>
      <c r="S779">
        <v>32</v>
      </c>
      <c r="T779" t="s">
        <v>69</v>
      </c>
      <c r="U779">
        <v>0</v>
      </c>
      <c r="V779">
        <v>25</v>
      </c>
      <c r="W779" t="s">
        <v>70</v>
      </c>
      <c r="X779" t="s">
        <v>68</v>
      </c>
      <c r="Y779" t="s">
        <v>71</v>
      </c>
      <c r="Z779" t="s">
        <v>96</v>
      </c>
    </row>
    <row r="780" spans="1:26" x14ac:dyDescent="0.2">
      <c r="A780" t="s">
        <v>1501</v>
      </c>
      <c r="B780" t="s">
        <v>1502</v>
      </c>
      <c r="C780" t="s">
        <v>74</v>
      </c>
      <c r="D780" t="s">
        <v>118</v>
      </c>
      <c r="E780" t="s">
        <v>1053</v>
      </c>
      <c r="F780" t="s">
        <v>92</v>
      </c>
      <c r="G780" t="s">
        <v>65</v>
      </c>
      <c r="H780" t="s">
        <v>66</v>
      </c>
      <c r="I780" t="s">
        <v>99</v>
      </c>
      <c r="J780" s="3">
        <v>44140</v>
      </c>
      <c r="K780">
        <v>5.2</v>
      </c>
      <c r="L780">
        <v>28</v>
      </c>
      <c r="M780" s="4">
        <v>4300</v>
      </c>
      <c r="N780" s="4">
        <v>69100</v>
      </c>
      <c r="O780" t="s">
        <v>68</v>
      </c>
      <c r="P780" t="s">
        <v>68</v>
      </c>
      <c r="Q780">
        <v>2.65</v>
      </c>
      <c r="R780">
        <v>59</v>
      </c>
      <c r="S780">
        <v>8</v>
      </c>
      <c r="T780" t="s">
        <v>69</v>
      </c>
      <c r="U780">
        <v>6</v>
      </c>
      <c r="V780">
        <v>21</v>
      </c>
      <c r="W780" t="s">
        <v>70</v>
      </c>
      <c r="X780" t="s">
        <v>68</v>
      </c>
      <c r="Y780" t="s">
        <v>86</v>
      </c>
      <c r="Z780" t="s">
        <v>74</v>
      </c>
    </row>
    <row r="781" spans="1:26" x14ac:dyDescent="0.2">
      <c r="A781" t="s">
        <v>1503</v>
      </c>
      <c r="B781" t="s">
        <v>720</v>
      </c>
      <c r="C781" t="s">
        <v>61</v>
      </c>
      <c r="D781" t="s">
        <v>177</v>
      </c>
      <c r="E781" t="s">
        <v>1127</v>
      </c>
      <c r="F781" t="s">
        <v>84</v>
      </c>
      <c r="G781" t="s">
        <v>65</v>
      </c>
      <c r="H781" t="s">
        <v>78</v>
      </c>
      <c r="I781" t="s">
        <v>111</v>
      </c>
      <c r="J781" s="3">
        <v>44753</v>
      </c>
      <c r="K781">
        <v>3.5</v>
      </c>
      <c r="L781">
        <v>40</v>
      </c>
      <c r="M781" s="4">
        <v>14300</v>
      </c>
      <c r="N781" s="4">
        <v>234622</v>
      </c>
      <c r="O781" t="s">
        <v>69</v>
      </c>
      <c r="P781" t="s">
        <v>68</v>
      </c>
      <c r="Q781">
        <v>3.79</v>
      </c>
      <c r="R781">
        <v>58</v>
      </c>
      <c r="S781">
        <v>24</v>
      </c>
      <c r="T781" t="s">
        <v>69</v>
      </c>
      <c r="U781">
        <v>11</v>
      </c>
      <c r="V781">
        <v>17</v>
      </c>
      <c r="W781" t="s">
        <v>68</v>
      </c>
      <c r="X781" t="s">
        <v>69</v>
      </c>
      <c r="Y781" t="s">
        <v>71</v>
      </c>
      <c r="Z781" t="s">
        <v>61</v>
      </c>
    </row>
    <row r="782" spans="1:26" x14ac:dyDescent="0.2">
      <c r="A782" t="s">
        <v>1504</v>
      </c>
      <c r="B782" t="s">
        <v>266</v>
      </c>
      <c r="C782" t="s">
        <v>89</v>
      </c>
      <c r="D782" t="s">
        <v>90</v>
      </c>
      <c r="E782" t="s">
        <v>187</v>
      </c>
      <c r="F782" t="s">
        <v>120</v>
      </c>
      <c r="G782" t="s">
        <v>65</v>
      </c>
      <c r="H782" t="s">
        <v>78</v>
      </c>
      <c r="I782" t="s">
        <v>99</v>
      </c>
      <c r="J782" s="3">
        <v>43399</v>
      </c>
      <c r="K782">
        <v>7.2</v>
      </c>
      <c r="L782">
        <v>30</v>
      </c>
      <c r="M782" s="4">
        <v>9100</v>
      </c>
      <c r="N782" s="4">
        <v>133556</v>
      </c>
      <c r="O782" t="s">
        <v>68</v>
      </c>
      <c r="P782" t="s">
        <v>69</v>
      </c>
      <c r="Q782">
        <v>2.02</v>
      </c>
      <c r="R782">
        <v>35</v>
      </c>
      <c r="S782">
        <v>31</v>
      </c>
      <c r="T782" t="s">
        <v>69</v>
      </c>
      <c r="U782">
        <v>1</v>
      </c>
      <c r="V782">
        <v>25</v>
      </c>
      <c r="W782" t="s">
        <v>70</v>
      </c>
      <c r="X782" t="s">
        <v>68</v>
      </c>
      <c r="Y782" t="s">
        <v>86</v>
      </c>
      <c r="Z782" t="s">
        <v>89</v>
      </c>
    </row>
    <row r="783" spans="1:26" x14ac:dyDescent="0.2">
      <c r="A783" t="s">
        <v>1505</v>
      </c>
      <c r="B783" t="s">
        <v>751</v>
      </c>
      <c r="C783" t="s">
        <v>133</v>
      </c>
      <c r="D783" t="s">
        <v>134</v>
      </c>
      <c r="E783" t="s">
        <v>1279</v>
      </c>
      <c r="F783" t="s">
        <v>92</v>
      </c>
      <c r="G783" t="s">
        <v>65</v>
      </c>
      <c r="H783" t="s">
        <v>78</v>
      </c>
      <c r="I783" t="s">
        <v>99</v>
      </c>
      <c r="J783" s="3">
        <v>42627</v>
      </c>
      <c r="K783">
        <v>9.3000000000000007</v>
      </c>
      <c r="L783">
        <v>36</v>
      </c>
      <c r="M783" s="4">
        <v>3600</v>
      </c>
      <c r="N783" s="4">
        <v>58443</v>
      </c>
      <c r="O783" t="s">
        <v>68</v>
      </c>
      <c r="P783" t="s">
        <v>68</v>
      </c>
      <c r="Q783">
        <v>2.65</v>
      </c>
      <c r="R783">
        <v>63</v>
      </c>
      <c r="S783">
        <v>22</v>
      </c>
      <c r="T783" t="s">
        <v>69</v>
      </c>
      <c r="U783">
        <v>0</v>
      </c>
      <c r="V783">
        <v>16</v>
      </c>
      <c r="W783" t="s">
        <v>70</v>
      </c>
      <c r="X783" t="s">
        <v>68</v>
      </c>
      <c r="Y783" t="s">
        <v>71</v>
      </c>
      <c r="Z783" t="s">
        <v>133</v>
      </c>
    </row>
    <row r="784" spans="1:26" x14ac:dyDescent="0.2">
      <c r="A784" t="s">
        <v>1506</v>
      </c>
      <c r="B784" t="s">
        <v>1356</v>
      </c>
      <c r="C784" t="s">
        <v>12</v>
      </c>
      <c r="D784" t="s">
        <v>249</v>
      </c>
      <c r="E784" t="s">
        <v>250</v>
      </c>
      <c r="F784" t="s">
        <v>174</v>
      </c>
      <c r="G784" t="s">
        <v>65</v>
      </c>
      <c r="H784" t="s">
        <v>78</v>
      </c>
      <c r="I784" t="s">
        <v>148</v>
      </c>
      <c r="J784" s="3">
        <v>42598</v>
      </c>
      <c r="K784">
        <v>9.4</v>
      </c>
      <c r="L784">
        <v>27</v>
      </c>
      <c r="M784" s="4">
        <v>25500</v>
      </c>
      <c r="N784" s="4">
        <v>386867</v>
      </c>
      <c r="O784" t="s">
        <v>69</v>
      </c>
      <c r="P784" t="s">
        <v>69</v>
      </c>
      <c r="Q784">
        <v>2.88</v>
      </c>
      <c r="R784">
        <v>59</v>
      </c>
      <c r="S784">
        <v>23</v>
      </c>
      <c r="T784" t="s">
        <v>69</v>
      </c>
      <c r="U784">
        <v>7</v>
      </c>
      <c r="V784">
        <v>43</v>
      </c>
      <c r="W784" t="s">
        <v>69</v>
      </c>
      <c r="X784" t="s">
        <v>68</v>
      </c>
      <c r="Y784" t="s">
        <v>86</v>
      </c>
      <c r="Z784" t="s">
        <v>12</v>
      </c>
    </row>
    <row r="785" spans="1:26" x14ac:dyDescent="0.2">
      <c r="A785" t="s">
        <v>1507</v>
      </c>
      <c r="B785" t="s">
        <v>457</v>
      </c>
      <c r="C785" t="s">
        <v>61</v>
      </c>
      <c r="D785" t="s">
        <v>218</v>
      </c>
      <c r="E785" t="s">
        <v>1508</v>
      </c>
      <c r="F785" t="s">
        <v>77</v>
      </c>
      <c r="G785" t="s">
        <v>65</v>
      </c>
      <c r="H785" t="s">
        <v>78</v>
      </c>
      <c r="I785" t="s">
        <v>121</v>
      </c>
      <c r="J785" s="3">
        <v>45477</v>
      </c>
      <c r="K785">
        <v>1.5</v>
      </c>
      <c r="L785">
        <v>51</v>
      </c>
      <c r="M785" s="4">
        <v>9200</v>
      </c>
      <c r="N785" s="4">
        <v>140313</v>
      </c>
      <c r="O785" t="s">
        <v>68</v>
      </c>
      <c r="P785" t="s">
        <v>68</v>
      </c>
      <c r="Q785">
        <v>3.22</v>
      </c>
      <c r="R785">
        <v>73</v>
      </c>
      <c r="S785">
        <v>15</v>
      </c>
      <c r="T785" t="s">
        <v>69</v>
      </c>
      <c r="U785">
        <v>9</v>
      </c>
      <c r="V785">
        <v>0</v>
      </c>
      <c r="W785" t="s">
        <v>70</v>
      </c>
      <c r="X785" t="s">
        <v>68</v>
      </c>
      <c r="Y785" t="s">
        <v>71</v>
      </c>
      <c r="Z785" t="s">
        <v>61</v>
      </c>
    </row>
    <row r="786" spans="1:26" x14ac:dyDescent="0.2">
      <c r="A786" t="s">
        <v>1509</v>
      </c>
      <c r="B786" t="s">
        <v>779</v>
      </c>
      <c r="C786" t="s">
        <v>61</v>
      </c>
      <c r="D786" t="s">
        <v>604</v>
      </c>
      <c r="E786" t="s">
        <v>792</v>
      </c>
      <c r="F786" t="s">
        <v>120</v>
      </c>
      <c r="G786" t="s">
        <v>85</v>
      </c>
      <c r="H786" t="s">
        <v>78</v>
      </c>
      <c r="I786" t="s">
        <v>67</v>
      </c>
      <c r="J786" s="3">
        <v>41321</v>
      </c>
      <c r="K786">
        <v>12.9</v>
      </c>
      <c r="L786">
        <v>22</v>
      </c>
      <c r="M786" s="4">
        <v>10100</v>
      </c>
      <c r="N786" s="4">
        <v>155514</v>
      </c>
      <c r="O786" t="s">
        <v>68</v>
      </c>
      <c r="P786" t="s">
        <v>68</v>
      </c>
      <c r="Q786">
        <v>2.85</v>
      </c>
      <c r="R786">
        <v>79</v>
      </c>
      <c r="S786">
        <v>12</v>
      </c>
      <c r="T786" t="s">
        <v>69</v>
      </c>
      <c r="U786">
        <v>7</v>
      </c>
      <c r="V786">
        <v>0</v>
      </c>
      <c r="W786" t="s">
        <v>70</v>
      </c>
      <c r="X786" t="s">
        <v>68</v>
      </c>
      <c r="Y786" t="s">
        <v>71</v>
      </c>
      <c r="Z786" t="s">
        <v>61</v>
      </c>
    </row>
    <row r="787" spans="1:26" x14ac:dyDescent="0.2">
      <c r="A787" t="s">
        <v>1510</v>
      </c>
      <c r="B787" t="s">
        <v>252</v>
      </c>
      <c r="C787" t="s">
        <v>74</v>
      </c>
      <c r="D787" t="s">
        <v>118</v>
      </c>
      <c r="E787" t="s">
        <v>1511</v>
      </c>
      <c r="F787" t="s">
        <v>84</v>
      </c>
      <c r="G787" t="s">
        <v>215</v>
      </c>
      <c r="H787" t="s">
        <v>66</v>
      </c>
      <c r="I787" t="s">
        <v>67</v>
      </c>
      <c r="J787" s="3">
        <v>44174</v>
      </c>
      <c r="K787">
        <v>5.0999999999999996</v>
      </c>
      <c r="L787">
        <v>50</v>
      </c>
      <c r="M787" s="4">
        <v>18300</v>
      </c>
      <c r="N787" s="4">
        <v>284472</v>
      </c>
      <c r="O787" t="s">
        <v>69</v>
      </c>
      <c r="P787" t="s">
        <v>68</v>
      </c>
      <c r="Q787">
        <v>2.2799999999999998</v>
      </c>
      <c r="R787">
        <v>68</v>
      </c>
      <c r="S787">
        <v>33</v>
      </c>
      <c r="T787" t="s">
        <v>69</v>
      </c>
      <c r="U787">
        <v>10</v>
      </c>
      <c r="V787">
        <v>34</v>
      </c>
      <c r="W787" t="s">
        <v>68</v>
      </c>
      <c r="X787" t="s">
        <v>68</v>
      </c>
      <c r="Y787" t="s">
        <v>71</v>
      </c>
      <c r="Z787" t="s">
        <v>74</v>
      </c>
    </row>
    <row r="788" spans="1:26" x14ac:dyDescent="0.2">
      <c r="A788" t="s">
        <v>1512</v>
      </c>
      <c r="B788" t="s">
        <v>500</v>
      </c>
      <c r="C788" t="s">
        <v>102</v>
      </c>
      <c r="D788" t="s">
        <v>166</v>
      </c>
      <c r="E788" t="s">
        <v>170</v>
      </c>
      <c r="F788" t="s">
        <v>77</v>
      </c>
      <c r="G788" t="s">
        <v>65</v>
      </c>
      <c r="H788" t="s">
        <v>78</v>
      </c>
      <c r="I788" t="s">
        <v>148</v>
      </c>
      <c r="J788" s="3">
        <v>44806</v>
      </c>
      <c r="K788">
        <v>3.3</v>
      </c>
      <c r="L788">
        <v>31</v>
      </c>
      <c r="M788" s="4">
        <v>10400</v>
      </c>
      <c r="N788" s="4">
        <v>162297</v>
      </c>
      <c r="O788" t="s">
        <v>68</v>
      </c>
      <c r="P788" t="s">
        <v>69</v>
      </c>
      <c r="Q788">
        <v>3.34</v>
      </c>
      <c r="R788">
        <v>52</v>
      </c>
      <c r="S788">
        <v>22</v>
      </c>
      <c r="T788" t="s">
        <v>69</v>
      </c>
      <c r="U788">
        <v>12</v>
      </c>
      <c r="V788">
        <v>11</v>
      </c>
      <c r="W788" t="s">
        <v>70</v>
      </c>
      <c r="X788" t="s">
        <v>68</v>
      </c>
      <c r="Y788" t="s">
        <v>71</v>
      </c>
      <c r="Z788" t="s">
        <v>102</v>
      </c>
    </row>
    <row r="789" spans="1:26" x14ac:dyDescent="0.2">
      <c r="A789" t="s">
        <v>1513</v>
      </c>
      <c r="B789" t="s">
        <v>959</v>
      </c>
      <c r="C789" t="s">
        <v>133</v>
      </c>
      <c r="D789" t="s">
        <v>134</v>
      </c>
      <c r="E789" t="s">
        <v>772</v>
      </c>
      <c r="F789" t="s">
        <v>174</v>
      </c>
      <c r="G789" t="s">
        <v>65</v>
      </c>
      <c r="H789" t="s">
        <v>78</v>
      </c>
      <c r="I789" t="s">
        <v>79</v>
      </c>
      <c r="J789" s="3">
        <v>41237</v>
      </c>
      <c r="K789">
        <v>13.1</v>
      </c>
      <c r="L789">
        <v>37</v>
      </c>
      <c r="M789" s="4">
        <v>25700</v>
      </c>
      <c r="N789" s="4">
        <v>380672</v>
      </c>
      <c r="O789" t="s">
        <v>69</v>
      </c>
      <c r="P789" t="s">
        <v>68</v>
      </c>
      <c r="Q789">
        <v>2.52</v>
      </c>
      <c r="R789">
        <v>65</v>
      </c>
      <c r="S789">
        <v>23</v>
      </c>
      <c r="T789" t="s">
        <v>69</v>
      </c>
      <c r="U789">
        <v>6</v>
      </c>
      <c r="V789">
        <v>0</v>
      </c>
      <c r="W789" t="s">
        <v>68</v>
      </c>
      <c r="X789" t="s">
        <v>68</v>
      </c>
      <c r="Y789" t="s">
        <v>71</v>
      </c>
      <c r="Z789" t="s">
        <v>133</v>
      </c>
    </row>
    <row r="790" spans="1:26" x14ac:dyDescent="0.2">
      <c r="A790" t="s">
        <v>1514</v>
      </c>
      <c r="B790" t="s">
        <v>582</v>
      </c>
      <c r="C790" t="s">
        <v>143</v>
      </c>
      <c r="D790" t="s">
        <v>158</v>
      </c>
      <c r="E790" t="s">
        <v>1239</v>
      </c>
      <c r="F790" t="s">
        <v>64</v>
      </c>
      <c r="G790" t="s">
        <v>215</v>
      </c>
      <c r="H790" t="s">
        <v>78</v>
      </c>
      <c r="I790" t="s">
        <v>111</v>
      </c>
      <c r="J790" s="3">
        <v>43901</v>
      </c>
      <c r="K790">
        <v>5.8</v>
      </c>
      <c r="L790">
        <v>54</v>
      </c>
      <c r="M790" s="4">
        <v>7300</v>
      </c>
      <c r="N790" s="4">
        <v>118078</v>
      </c>
      <c r="O790" t="s">
        <v>68</v>
      </c>
      <c r="P790" t="s">
        <v>69</v>
      </c>
      <c r="Q790">
        <v>3.47</v>
      </c>
      <c r="R790">
        <v>59</v>
      </c>
      <c r="S790">
        <v>17</v>
      </c>
      <c r="T790" t="s">
        <v>69</v>
      </c>
      <c r="U790">
        <v>7</v>
      </c>
      <c r="V790">
        <v>35</v>
      </c>
      <c r="W790" t="s">
        <v>70</v>
      </c>
      <c r="X790" t="s">
        <v>68</v>
      </c>
      <c r="Y790" t="s">
        <v>86</v>
      </c>
      <c r="Z790" t="s">
        <v>143</v>
      </c>
    </row>
    <row r="791" spans="1:26" x14ac:dyDescent="0.2">
      <c r="A791" t="s">
        <v>1515</v>
      </c>
      <c r="B791" t="s">
        <v>457</v>
      </c>
      <c r="C791" t="s">
        <v>96</v>
      </c>
      <c r="D791" t="s">
        <v>97</v>
      </c>
      <c r="E791" t="s">
        <v>284</v>
      </c>
      <c r="F791" t="s">
        <v>136</v>
      </c>
      <c r="G791" t="s">
        <v>65</v>
      </c>
      <c r="H791" t="s">
        <v>78</v>
      </c>
      <c r="I791" t="s">
        <v>148</v>
      </c>
      <c r="J791" s="3">
        <v>42397</v>
      </c>
      <c r="K791">
        <v>9.9</v>
      </c>
      <c r="L791">
        <v>32</v>
      </c>
      <c r="M791" s="4">
        <v>15400</v>
      </c>
      <c r="N791" s="4">
        <v>240342</v>
      </c>
      <c r="O791" t="s">
        <v>68</v>
      </c>
      <c r="P791" t="s">
        <v>69</v>
      </c>
      <c r="Q791">
        <v>2.67</v>
      </c>
      <c r="R791">
        <v>58</v>
      </c>
      <c r="S791">
        <v>20</v>
      </c>
      <c r="T791" t="s">
        <v>69</v>
      </c>
      <c r="U791">
        <v>2</v>
      </c>
      <c r="V791">
        <v>23</v>
      </c>
      <c r="W791" t="s">
        <v>70</v>
      </c>
      <c r="X791" t="s">
        <v>68</v>
      </c>
      <c r="Y791" t="s">
        <v>71</v>
      </c>
      <c r="Z791" t="s">
        <v>96</v>
      </c>
    </row>
    <row r="792" spans="1:26" x14ac:dyDescent="0.2">
      <c r="A792" t="s">
        <v>1516</v>
      </c>
      <c r="B792" t="s">
        <v>138</v>
      </c>
      <c r="C792" t="s">
        <v>89</v>
      </c>
      <c r="D792" t="s">
        <v>154</v>
      </c>
      <c r="E792" t="s">
        <v>155</v>
      </c>
      <c r="F792" t="s">
        <v>120</v>
      </c>
      <c r="G792" t="s">
        <v>65</v>
      </c>
      <c r="H792" t="s">
        <v>78</v>
      </c>
      <c r="I792" t="s">
        <v>67</v>
      </c>
      <c r="J792" s="3">
        <v>45485</v>
      </c>
      <c r="K792">
        <v>1.5</v>
      </c>
      <c r="L792">
        <v>23</v>
      </c>
      <c r="M792" s="4">
        <v>7100</v>
      </c>
      <c r="N792" s="4">
        <v>114701</v>
      </c>
      <c r="O792" t="s">
        <v>68</v>
      </c>
      <c r="P792" t="s">
        <v>69</v>
      </c>
      <c r="Q792">
        <v>3.05</v>
      </c>
      <c r="R792">
        <v>74</v>
      </c>
      <c r="S792">
        <v>28</v>
      </c>
      <c r="T792" t="s">
        <v>69</v>
      </c>
      <c r="U792">
        <v>0</v>
      </c>
      <c r="V792">
        <v>45</v>
      </c>
      <c r="W792" t="s">
        <v>70</v>
      </c>
      <c r="X792" t="s">
        <v>68</v>
      </c>
      <c r="Y792" t="s">
        <v>71</v>
      </c>
      <c r="Z792" t="s">
        <v>89</v>
      </c>
    </row>
    <row r="793" spans="1:26" x14ac:dyDescent="0.2">
      <c r="A793" t="s">
        <v>1517</v>
      </c>
      <c r="B793" t="s">
        <v>429</v>
      </c>
      <c r="C793" t="s">
        <v>74</v>
      </c>
      <c r="D793" t="s">
        <v>139</v>
      </c>
      <c r="E793" t="s">
        <v>197</v>
      </c>
      <c r="F793" t="s">
        <v>120</v>
      </c>
      <c r="G793" t="s">
        <v>65</v>
      </c>
      <c r="H793" t="s">
        <v>78</v>
      </c>
      <c r="I793" t="s">
        <v>67</v>
      </c>
      <c r="J793" s="3">
        <v>42033</v>
      </c>
      <c r="K793">
        <v>10.9</v>
      </c>
      <c r="L793">
        <v>25</v>
      </c>
      <c r="M793" s="4">
        <v>10600</v>
      </c>
      <c r="N793" s="4">
        <v>159148</v>
      </c>
      <c r="O793" t="s">
        <v>69</v>
      </c>
      <c r="P793" t="s">
        <v>68</v>
      </c>
      <c r="Q793">
        <v>2.9</v>
      </c>
      <c r="R793">
        <v>72</v>
      </c>
      <c r="S793">
        <v>20</v>
      </c>
      <c r="T793" t="s">
        <v>69</v>
      </c>
      <c r="U793">
        <v>12</v>
      </c>
      <c r="V793">
        <v>69</v>
      </c>
      <c r="W793" t="s">
        <v>68</v>
      </c>
      <c r="X793" t="s">
        <v>68</v>
      </c>
      <c r="Y793" t="s">
        <v>86</v>
      </c>
      <c r="Z793" t="s">
        <v>74</v>
      </c>
    </row>
    <row r="794" spans="1:26" x14ac:dyDescent="0.2">
      <c r="A794" t="s">
        <v>1518</v>
      </c>
      <c r="B794" t="s">
        <v>740</v>
      </c>
      <c r="C794" t="s">
        <v>96</v>
      </c>
      <c r="D794" t="s">
        <v>162</v>
      </c>
      <c r="E794" t="s">
        <v>632</v>
      </c>
      <c r="F794" t="s">
        <v>120</v>
      </c>
      <c r="G794" t="s">
        <v>65</v>
      </c>
      <c r="H794" t="s">
        <v>78</v>
      </c>
      <c r="I794" t="s">
        <v>99</v>
      </c>
      <c r="J794" s="3">
        <v>42833</v>
      </c>
      <c r="K794">
        <v>8.6999999999999993</v>
      </c>
      <c r="L794">
        <v>43</v>
      </c>
      <c r="M794" s="4">
        <v>8300</v>
      </c>
      <c r="N794" s="4">
        <v>127349</v>
      </c>
      <c r="O794" t="s">
        <v>68</v>
      </c>
      <c r="P794" t="s">
        <v>69</v>
      </c>
      <c r="Q794">
        <v>2.91</v>
      </c>
      <c r="R794">
        <v>57</v>
      </c>
      <c r="S794">
        <v>41</v>
      </c>
      <c r="T794" t="s">
        <v>69</v>
      </c>
      <c r="U794">
        <v>2</v>
      </c>
      <c r="V794">
        <v>0</v>
      </c>
      <c r="W794" t="s">
        <v>70</v>
      </c>
      <c r="X794" t="s">
        <v>68</v>
      </c>
      <c r="Y794" t="s">
        <v>71</v>
      </c>
      <c r="Z794" t="s">
        <v>96</v>
      </c>
    </row>
    <row r="795" spans="1:26" x14ac:dyDescent="0.2">
      <c r="A795" t="s">
        <v>1519</v>
      </c>
      <c r="B795" t="s">
        <v>824</v>
      </c>
      <c r="C795" t="s">
        <v>96</v>
      </c>
      <c r="D795" t="s">
        <v>129</v>
      </c>
      <c r="E795" t="s">
        <v>501</v>
      </c>
      <c r="F795" t="s">
        <v>64</v>
      </c>
      <c r="G795" t="s">
        <v>65</v>
      </c>
      <c r="H795" t="s">
        <v>78</v>
      </c>
      <c r="I795" t="s">
        <v>99</v>
      </c>
      <c r="J795" s="3">
        <v>45567</v>
      </c>
      <c r="K795">
        <v>1.2</v>
      </c>
      <c r="L795">
        <v>55</v>
      </c>
      <c r="M795" s="4">
        <v>7500</v>
      </c>
      <c r="N795" s="4">
        <v>118353</v>
      </c>
      <c r="O795" t="s">
        <v>68</v>
      </c>
      <c r="P795" t="s">
        <v>69</v>
      </c>
      <c r="Q795">
        <v>2.96</v>
      </c>
      <c r="R795">
        <v>58</v>
      </c>
      <c r="S795">
        <v>37</v>
      </c>
      <c r="T795" t="s">
        <v>69</v>
      </c>
      <c r="U795">
        <v>12</v>
      </c>
      <c r="V795">
        <v>14</v>
      </c>
      <c r="W795" t="s">
        <v>70</v>
      </c>
      <c r="X795" t="s">
        <v>68</v>
      </c>
      <c r="Y795" t="s">
        <v>86</v>
      </c>
      <c r="Z795" t="s">
        <v>96</v>
      </c>
    </row>
    <row r="796" spans="1:26" x14ac:dyDescent="0.2">
      <c r="A796" t="s">
        <v>1520</v>
      </c>
      <c r="B796" t="s">
        <v>1521</v>
      </c>
      <c r="C796" t="s">
        <v>108</v>
      </c>
      <c r="D796" t="s">
        <v>194</v>
      </c>
      <c r="E796" t="s">
        <v>381</v>
      </c>
      <c r="F796" t="s">
        <v>77</v>
      </c>
      <c r="G796" t="s">
        <v>85</v>
      </c>
      <c r="H796" t="s">
        <v>78</v>
      </c>
      <c r="I796" t="s">
        <v>148</v>
      </c>
      <c r="J796" s="3">
        <v>44448</v>
      </c>
      <c r="K796">
        <v>4.3</v>
      </c>
      <c r="L796">
        <v>27</v>
      </c>
      <c r="M796" s="4">
        <v>7900</v>
      </c>
      <c r="N796" s="4">
        <v>112105</v>
      </c>
      <c r="O796" t="s">
        <v>68</v>
      </c>
      <c r="P796" t="s">
        <v>69</v>
      </c>
      <c r="Q796">
        <v>3.22</v>
      </c>
      <c r="R796">
        <v>69</v>
      </c>
      <c r="S796">
        <v>18</v>
      </c>
      <c r="T796" t="s">
        <v>68</v>
      </c>
      <c r="U796">
        <v>10</v>
      </c>
      <c r="V796">
        <v>11</v>
      </c>
      <c r="W796" t="s">
        <v>70</v>
      </c>
      <c r="X796" t="s">
        <v>68</v>
      </c>
      <c r="Y796" t="s">
        <v>71</v>
      </c>
      <c r="Z796" t="s">
        <v>108</v>
      </c>
    </row>
    <row r="797" spans="1:26" x14ac:dyDescent="0.2">
      <c r="A797" t="s">
        <v>1522</v>
      </c>
      <c r="B797" t="s">
        <v>1523</v>
      </c>
      <c r="C797" t="s">
        <v>124</v>
      </c>
      <c r="D797" t="s">
        <v>391</v>
      </c>
      <c r="E797" t="s">
        <v>1524</v>
      </c>
      <c r="F797" t="s">
        <v>92</v>
      </c>
      <c r="G797" t="s">
        <v>85</v>
      </c>
      <c r="H797" t="s">
        <v>78</v>
      </c>
      <c r="I797" t="s">
        <v>111</v>
      </c>
      <c r="J797" s="3">
        <v>41100</v>
      </c>
      <c r="K797">
        <v>13.5</v>
      </c>
      <c r="L797">
        <v>46</v>
      </c>
      <c r="M797" s="4">
        <v>4000</v>
      </c>
      <c r="N797" s="4">
        <v>62042</v>
      </c>
      <c r="O797" t="s">
        <v>69</v>
      </c>
      <c r="P797" t="s">
        <v>69</v>
      </c>
      <c r="Q797">
        <v>3.34</v>
      </c>
      <c r="R797">
        <v>66</v>
      </c>
      <c r="S797">
        <v>20</v>
      </c>
      <c r="T797" t="s">
        <v>69</v>
      </c>
      <c r="U797">
        <v>11</v>
      </c>
      <c r="V797">
        <v>29</v>
      </c>
      <c r="W797" t="s">
        <v>68</v>
      </c>
      <c r="X797" t="s">
        <v>68</v>
      </c>
      <c r="Y797" t="s">
        <v>86</v>
      </c>
      <c r="Z797" t="s">
        <v>124</v>
      </c>
    </row>
    <row r="798" spans="1:26" x14ac:dyDescent="0.2">
      <c r="A798" t="s">
        <v>1525</v>
      </c>
      <c r="B798" t="s">
        <v>766</v>
      </c>
      <c r="C798" t="s">
        <v>89</v>
      </c>
      <c r="D798" t="s">
        <v>90</v>
      </c>
      <c r="E798" t="s">
        <v>91</v>
      </c>
      <c r="F798" t="s">
        <v>92</v>
      </c>
      <c r="G798" t="s">
        <v>85</v>
      </c>
      <c r="H798" t="s">
        <v>66</v>
      </c>
      <c r="I798" t="s">
        <v>93</v>
      </c>
      <c r="J798" s="3">
        <v>44498</v>
      </c>
      <c r="K798">
        <v>4.2</v>
      </c>
      <c r="L798">
        <v>46</v>
      </c>
      <c r="M798" s="4">
        <v>4600</v>
      </c>
      <c r="N798" s="4">
        <v>67722</v>
      </c>
      <c r="O798" t="s">
        <v>68</v>
      </c>
      <c r="P798" t="s">
        <v>69</v>
      </c>
      <c r="Q798">
        <v>3.09</v>
      </c>
      <c r="R798">
        <v>58</v>
      </c>
      <c r="S798">
        <v>15</v>
      </c>
      <c r="T798" t="s">
        <v>69</v>
      </c>
      <c r="U798">
        <v>2</v>
      </c>
      <c r="V798">
        <v>0</v>
      </c>
      <c r="W798" t="s">
        <v>70</v>
      </c>
      <c r="X798" t="s">
        <v>68</v>
      </c>
      <c r="Y798" t="s">
        <v>71</v>
      </c>
      <c r="Z798" t="s">
        <v>89</v>
      </c>
    </row>
    <row r="799" spans="1:26" x14ac:dyDescent="0.2">
      <c r="A799" t="s">
        <v>1526</v>
      </c>
      <c r="B799" t="s">
        <v>652</v>
      </c>
      <c r="C799" t="s">
        <v>133</v>
      </c>
      <c r="D799" t="s">
        <v>213</v>
      </c>
      <c r="E799" t="s">
        <v>463</v>
      </c>
      <c r="F799" t="s">
        <v>120</v>
      </c>
      <c r="G799" t="s">
        <v>65</v>
      </c>
      <c r="H799" t="s">
        <v>66</v>
      </c>
      <c r="I799" t="s">
        <v>111</v>
      </c>
      <c r="J799" s="3">
        <v>42302</v>
      </c>
      <c r="K799">
        <v>10.199999999999999</v>
      </c>
      <c r="L799">
        <v>35</v>
      </c>
      <c r="M799" s="4">
        <v>6300</v>
      </c>
      <c r="N799" s="4">
        <v>93733</v>
      </c>
      <c r="O799" t="s">
        <v>68</v>
      </c>
      <c r="P799" t="s">
        <v>68</v>
      </c>
      <c r="Q799">
        <v>2.4500000000000002</v>
      </c>
      <c r="R799">
        <v>66</v>
      </c>
      <c r="S799">
        <v>27</v>
      </c>
      <c r="T799" t="s">
        <v>69</v>
      </c>
      <c r="U799">
        <v>14</v>
      </c>
      <c r="V799">
        <v>12</v>
      </c>
      <c r="W799" t="s">
        <v>70</v>
      </c>
      <c r="X799" t="s">
        <v>68</v>
      </c>
      <c r="Y799" t="s">
        <v>71</v>
      </c>
      <c r="Z799" t="s">
        <v>133</v>
      </c>
    </row>
    <row r="800" spans="1:26" x14ac:dyDescent="0.2">
      <c r="A800" t="s">
        <v>1527</v>
      </c>
      <c r="B800" t="s">
        <v>1528</v>
      </c>
      <c r="C800" t="s">
        <v>89</v>
      </c>
      <c r="D800" t="s">
        <v>90</v>
      </c>
      <c r="E800" t="s">
        <v>187</v>
      </c>
      <c r="F800" t="s">
        <v>120</v>
      </c>
      <c r="G800" t="s">
        <v>65</v>
      </c>
      <c r="H800" t="s">
        <v>66</v>
      </c>
      <c r="I800" t="s">
        <v>99</v>
      </c>
      <c r="J800" s="3">
        <v>45416</v>
      </c>
      <c r="K800">
        <v>1.7</v>
      </c>
      <c r="L800">
        <v>52</v>
      </c>
      <c r="M800" s="4">
        <v>6600</v>
      </c>
      <c r="N800" s="4">
        <v>98885</v>
      </c>
      <c r="O800" t="s">
        <v>68</v>
      </c>
      <c r="P800" t="s">
        <v>69</v>
      </c>
      <c r="Q800">
        <v>3.07</v>
      </c>
      <c r="R800">
        <v>74</v>
      </c>
      <c r="S800">
        <v>9</v>
      </c>
      <c r="T800" t="s">
        <v>69</v>
      </c>
      <c r="U800">
        <v>11</v>
      </c>
      <c r="V800">
        <v>31</v>
      </c>
      <c r="W800" t="s">
        <v>70</v>
      </c>
      <c r="X800" t="s">
        <v>68</v>
      </c>
      <c r="Y800" t="s">
        <v>71</v>
      </c>
      <c r="Z800" t="s">
        <v>89</v>
      </c>
    </row>
    <row r="801" spans="1:26" x14ac:dyDescent="0.2">
      <c r="A801" t="s">
        <v>1529</v>
      </c>
      <c r="B801" t="s">
        <v>1000</v>
      </c>
      <c r="C801" t="s">
        <v>12</v>
      </c>
      <c r="D801" t="s">
        <v>200</v>
      </c>
      <c r="E801" t="s">
        <v>541</v>
      </c>
      <c r="F801" t="s">
        <v>120</v>
      </c>
      <c r="G801" t="s">
        <v>65</v>
      </c>
      <c r="H801" t="s">
        <v>66</v>
      </c>
      <c r="I801" t="s">
        <v>148</v>
      </c>
      <c r="J801" s="3">
        <v>43402</v>
      </c>
      <c r="K801">
        <v>7.2</v>
      </c>
      <c r="L801">
        <v>23</v>
      </c>
      <c r="M801" s="4">
        <v>8600</v>
      </c>
      <c r="N801" s="4">
        <v>132418</v>
      </c>
      <c r="O801" t="s">
        <v>68</v>
      </c>
      <c r="P801" t="s">
        <v>68</v>
      </c>
      <c r="Q801">
        <v>2.95</v>
      </c>
      <c r="R801">
        <v>62</v>
      </c>
      <c r="S801">
        <v>38</v>
      </c>
      <c r="T801" t="s">
        <v>69</v>
      </c>
      <c r="U801">
        <v>10</v>
      </c>
      <c r="V801">
        <v>17</v>
      </c>
      <c r="W801" t="s">
        <v>70</v>
      </c>
      <c r="X801" t="s">
        <v>68</v>
      </c>
      <c r="Y801" t="s">
        <v>71</v>
      </c>
      <c r="Z801" t="s">
        <v>12</v>
      </c>
    </row>
    <row r="802" spans="1:26" x14ac:dyDescent="0.2">
      <c r="A802" t="s">
        <v>1530</v>
      </c>
      <c r="B802" t="s">
        <v>1531</v>
      </c>
      <c r="C802" t="s">
        <v>108</v>
      </c>
      <c r="D802" t="s">
        <v>222</v>
      </c>
      <c r="E802" t="s">
        <v>693</v>
      </c>
      <c r="F802" t="s">
        <v>64</v>
      </c>
      <c r="G802" t="s">
        <v>65</v>
      </c>
      <c r="H802" t="s">
        <v>66</v>
      </c>
      <c r="I802" t="s">
        <v>148</v>
      </c>
      <c r="J802" s="3">
        <v>43694</v>
      </c>
      <c r="K802">
        <v>6.4</v>
      </c>
      <c r="L802">
        <v>22</v>
      </c>
      <c r="M802" s="4">
        <v>6400</v>
      </c>
      <c r="N802" s="4">
        <v>95026</v>
      </c>
      <c r="O802" t="s">
        <v>69</v>
      </c>
      <c r="P802" t="s">
        <v>69</v>
      </c>
      <c r="Q802">
        <v>2.75</v>
      </c>
      <c r="R802">
        <v>56</v>
      </c>
      <c r="S802">
        <v>14</v>
      </c>
      <c r="T802" t="s">
        <v>69</v>
      </c>
      <c r="U802">
        <v>6</v>
      </c>
      <c r="V802">
        <v>30</v>
      </c>
      <c r="W802" t="s">
        <v>68</v>
      </c>
      <c r="X802" t="s">
        <v>68</v>
      </c>
      <c r="Y802" t="s">
        <v>86</v>
      </c>
      <c r="Z802" t="s">
        <v>108</v>
      </c>
    </row>
    <row r="803" spans="1:26" x14ac:dyDescent="0.2">
      <c r="A803" t="s">
        <v>1532</v>
      </c>
      <c r="B803" t="s">
        <v>273</v>
      </c>
      <c r="C803" t="s">
        <v>102</v>
      </c>
      <c r="D803" t="s">
        <v>166</v>
      </c>
      <c r="E803" t="s">
        <v>801</v>
      </c>
      <c r="F803" t="s">
        <v>84</v>
      </c>
      <c r="G803" t="s">
        <v>65</v>
      </c>
      <c r="H803" t="s">
        <v>78</v>
      </c>
      <c r="I803" t="s">
        <v>79</v>
      </c>
      <c r="J803" s="3">
        <v>43933</v>
      </c>
      <c r="K803">
        <v>5.7</v>
      </c>
      <c r="L803">
        <v>57</v>
      </c>
      <c r="M803" s="4">
        <v>17400</v>
      </c>
      <c r="N803" s="4">
        <v>247969</v>
      </c>
      <c r="O803" t="s">
        <v>69</v>
      </c>
      <c r="P803" t="s">
        <v>69</v>
      </c>
      <c r="Q803">
        <v>2.98</v>
      </c>
      <c r="R803">
        <v>55</v>
      </c>
      <c r="S803">
        <v>17</v>
      </c>
      <c r="T803" t="s">
        <v>69</v>
      </c>
      <c r="U803">
        <v>5</v>
      </c>
      <c r="V803">
        <v>34</v>
      </c>
      <c r="W803" t="s">
        <v>68</v>
      </c>
      <c r="X803" t="s">
        <v>68</v>
      </c>
      <c r="Y803" t="s">
        <v>86</v>
      </c>
      <c r="Z803" t="s">
        <v>102</v>
      </c>
    </row>
    <row r="804" spans="1:26" x14ac:dyDescent="0.2">
      <c r="A804" t="s">
        <v>1533</v>
      </c>
      <c r="B804" t="s">
        <v>785</v>
      </c>
      <c r="C804" t="s">
        <v>143</v>
      </c>
      <c r="D804" t="s">
        <v>158</v>
      </c>
      <c r="E804" t="s">
        <v>577</v>
      </c>
      <c r="F804" t="s">
        <v>120</v>
      </c>
      <c r="G804" t="s">
        <v>65</v>
      </c>
      <c r="H804" t="s">
        <v>78</v>
      </c>
      <c r="I804" t="s">
        <v>121</v>
      </c>
      <c r="J804" s="3">
        <v>44936</v>
      </c>
      <c r="K804">
        <v>3</v>
      </c>
      <c r="L804">
        <v>44</v>
      </c>
      <c r="M804" s="4">
        <v>7500</v>
      </c>
      <c r="N804" s="4">
        <v>114299</v>
      </c>
      <c r="O804" t="s">
        <v>68</v>
      </c>
      <c r="P804" t="s">
        <v>69</v>
      </c>
      <c r="Q804">
        <v>2.69</v>
      </c>
      <c r="R804">
        <v>52</v>
      </c>
      <c r="S804">
        <v>6</v>
      </c>
      <c r="T804" t="s">
        <v>69</v>
      </c>
      <c r="U804">
        <v>1</v>
      </c>
      <c r="V804">
        <v>0</v>
      </c>
      <c r="W804" t="s">
        <v>70</v>
      </c>
      <c r="X804" t="s">
        <v>68</v>
      </c>
      <c r="Y804" t="s">
        <v>71</v>
      </c>
      <c r="Z804" t="s">
        <v>143</v>
      </c>
    </row>
    <row r="805" spans="1:26" x14ac:dyDescent="0.2">
      <c r="A805" t="s">
        <v>1534</v>
      </c>
      <c r="B805" t="s">
        <v>594</v>
      </c>
      <c r="C805" t="s">
        <v>89</v>
      </c>
      <c r="D805" t="s">
        <v>154</v>
      </c>
      <c r="E805" t="s">
        <v>650</v>
      </c>
      <c r="F805" t="s">
        <v>77</v>
      </c>
      <c r="G805" t="s">
        <v>65</v>
      </c>
      <c r="H805" t="s">
        <v>78</v>
      </c>
      <c r="I805" t="s">
        <v>93</v>
      </c>
      <c r="J805" s="3">
        <v>41290</v>
      </c>
      <c r="K805">
        <v>13</v>
      </c>
      <c r="L805">
        <v>55</v>
      </c>
      <c r="M805" s="4">
        <v>8500</v>
      </c>
      <c r="N805" s="4">
        <v>136536</v>
      </c>
      <c r="O805" t="s">
        <v>68</v>
      </c>
      <c r="P805" t="s">
        <v>69</v>
      </c>
      <c r="Q805">
        <v>2.66</v>
      </c>
      <c r="R805">
        <v>69</v>
      </c>
      <c r="S805">
        <v>33</v>
      </c>
      <c r="T805" t="s">
        <v>69</v>
      </c>
      <c r="U805">
        <v>3</v>
      </c>
      <c r="V805">
        <v>39</v>
      </c>
      <c r="W805" t="s">
        <v>70</v>
      </c>
      <c r="X805" t="s">
        <v>68</v>
      </c>
      <c r="Y805" t="s">
        <v>71</v>
      </c>
      <c r="Z805" t="s">
        <v>89</v>
      </c>
    </row>
    <row r="806" spans="1:26" x14ac:dyDescent="0.2">
      <c r="A806" t="s">
        <v>1535</v>
      </c>
      <c r="B806" t="s">
        <v>172</v>
      </c>
      <c r="C806" t="s">
        <v>96</v>
      </c>
      <c r="D806" t="s">
        <v>97</v>
      </c>
      <c r="E806" t="s">
        <v>386</v>
      </c>
      <c r="F806" t="s">
        <v>120</v>
      </c>
      <c r="G806" t="s">
        <v>65</v>
      </c>
      <c r="H806" t="s">
        <v>66</v>
      </c>
      <c r="I806" t="s">
        <v>148</v>
      </c>
      <c r="J806" s="3">
        <v>45287</v>
      </c>
      <c r="K806">
        <v>2</v>
      </c>
      <c r="L806">
        <v>57</v>
      </c>
      <c r="M806" s="4">
        <v>8800</v>
      </c>
      <c r="N806" s="4">
        <v>135435</v>
      </c>
      <c r="O806" t="s">
        <v>68</v>
      </c>
      <c r="P806" t="s">
        <v>69</v>
      </c>
      <c r="Q806">
        <v>3.25</v>
      </c>
      <c r="R806">
        <v>68</v>
      </c>
      <c r="S806">
        <v>37</v>
      </c>
      <c r="T806" t="s">
        <v>69</v>
      </c>
      <c r="U806">
        <v>4</v>
      </c>
      <c r="V806">
        <v>24</v>
      </c>
      <c r="W806" t="s">
        <v>70</v>
      </c>
      <c r="X806" t="s">
        <v>68</v>
      </c>
      <c r="Y806" t="s">
        <v>71</v>
      </c>
      <c r="Z806" t="s">
        <v>96</v>
      </c>
    </row>
    <row r="807" spans="1:26" x14ac:dyDescent="0.2">
      <c r="A807" t="s">
        <v>1536</v>
      </c>
      <c r="B807" t="s">
        <v>621</v>
      </c>
      <c r="C807" t="s">
        <v>96</v>
      </c>
      <c r="D807" t="s">
        <v>234</v>
      </c>
      <c r="E807" t="s">
        <v>235</v>
      </c>
      <c r="F807" t="s">
        <v>77</v>
      </c>
      <c r="G807" t="s">
        <v>65</v>
      </c>
      <c r="H807" t="s">
        <v>66</v>
      </c>
      <c r="I807" t="s">
        <v>148</v>
      </c>
      <c r="J807" s="3">
        <v>41034</v>
      </c>
      <c r="K807">
        <v>13.7</v>
      </c>
      <c r="L807">
        <v>44</v>
      </c>
      <c r="M807" s="4">
        <v>10800</v>
      </c>
      <c r="N807" s="4">
        <v>165301</v>
      </c>
      <c r="O807" t="s">
        <v>68</v>
      </c>
      <c r="P807" t="s">
        <v>69</v>
      </c>
      <c r="Q807">
        <v>3.2</v>
      </c>
      <c r="R807">
        <v>69</v>
      </c>
      <c r="S807">
        <v>21</v>
      </c>
      <c r="T807" t="s">
        <v>69</v>
      </c>
      <c r="U807">
        <v>6</v>
      </c>
      <c r="V807">
        <v>2</v>
      </c>
      <c r="W807" t="s">
        <v>70</v>
      </c>
      <c r="X807" t="s">
        <v>68</v>
      </c>
      <c r="Y807" t="s">
        <v>71</v>
      </c>
      <c r="Z807" t="s">
        <v>96</v>
      </c>
    </row>
    <row r="808" spans="1:26" x14ac:dyDescent="0.2">
      <c r="A808" t="s">
        <v>1537</v>
      </c>
      <c r="B808" t="s">
        <v>894</v>
      </c>
      <c r="C808" t="s">
        <v>96</v>
      </c>
      <c r="D808" t="s">
        <v>97</v>
      </c>
      <c r="E808" t="s">
        <v>386</v>
      </c>
      <c r="F808" t="s">
        <v>120</v>
      </c>
      <c r="G808" t="s">
        <v>65</v>
      </c>
      <c r="H808" t="s">
        <v>66</v>
      </c>
      <c r="I808" t="s">
        <v>93</v>
      </c>
      <c r="J808" s="3">
        <v>42343</v>
      </c>
      <c r="K808">
        <v>10.1</v>
      </c>
      <c r="L808">
        <v>43</v>
      </c>
      <c r="M808" s="4">
        <v>7200</v>
      </c>
      <c r="N808" s="4">
        <v>103717</v>
      </c>
      <c r="O808" t="s">
        <v>68</v>
      </c>
      <c r="P808" t="s">
        <v>69</v>
      </c>
      <c r="Q808">
        <v>2.94</v>
      </c>
      <c r="R808">
        <v>67</v>
      </c>
      <c r="S808">
        <v>14</v>
      </c>
      <c r="T808" t="s">
        <v>69</v>
      </c>
      <c r="U808">
        <v>2</v>
      </c>
      <c r="V808">
        <v>0</v>
      </c>
      <c r="W808" t="s">
        <v>70</v>
      </c>
      <c r="X808" t="s">
        <v>68</v>
      </c>
      <c r="Y808" t="s">
        <v>71</v>
      </c>
      <c r="Z808" t="s">
        <v>96</v>
      </c>
    </row>
    <row r="809" spans="1:26" x14ac:dyDescent="0.2">
      <c r="A809" t="s">
        <v>1538</v>
      </c>
      <c r="B809" t="s">
        <v>132</v>
      </c>
      <c r="C809" t="s">
        <v>143</v>
      </c>
      <c r="D809" t="s">
        <v>207</v>
      </c>
      <c r="E809" t="s">
        <v>400</v>
      </c>
      <c r="F809" t="s">
        <v>120</v>
      </c>
      <c r="G809" t="s">
        <v>65</v>
      </c>
      <c r="H809" t="s">
        <v>66</v>
      </c>
      <c r="I809" t="s">
        <v>148</v>
      </c>
      <c r="J809" s="3">
        <v>45086</v>
      </c>
      <c r="K809">
        <v>2.6</v>
      </c>
      <c r="L809">
        <v>44</v>
      </c>
      <c r="M809" s="4">
        <v>7600</v>
      </c>
      <c r="N809" s="4">
        <v>122651</v>
      </c>
      <c r="O809" t="s">
        <v>68</v>
      </c>
      <c r="P809" t="s">
        <v>69</v>
      </c>
      <c r="Q809">
        <v>3.02</v>
      </c>
      <c r="R809">
        <v>66</v>
      </c>
      <c r="S809">
        <v>36</v>
      </c>
      <c r="T809" t="s">
        <v>69</v>
      </c>
      <c r="U809">
        <v>0</v>
      </c>
      <c r="V809">
        <v>29</v>
      </c>
      <c r="W809" t="s">
        <v>70</v>
      </c>
      <c r="X809" t="s">
        <v>68</v>
      </c>
      <c r="Y809" t="s">
        <v>71</v>
      </c>
      <c r="Z809" t="s">
        <v>143</v>
      </c>
    </row>
    <row r="810" spans="1:26" x14ac:dyDescent="0.2">
      <c r="A810" t="s">
        <v>1539</v>
      </c>
      <c r="B810" t="s">
        <v>1497</v>
      </c>
      <c r="C810" t="s">
        <v>108</v>
      </c>
      <c r="D810" t="s">
        <v>109</v>
      </c>
      <c r="E810" t="s">
        <v>1540</v>
      </c>
      <c r="F810" t="s">
        <v>174</v>
      </c>
      <c r="G810" t="s">
        <v>65</v>
      </c>
      <c r="H810" t="s">
        <v>78</v>
      </c>
      <c r="I810" t="s">
        <v>148</v>
      </c>
      <c r="J810" s="3">
        <v>42273</v>
      </c>
      <c r="K810">
        <v>10.3</v>
      </c>
      <c r="L810">
        <v>53</v>
      </c>
      <c r="M810" s="4">
        <v>30300</v>
      </c>
      <c r="N810" s="4">
        <v>430334</v>
      </c>
      <c r="O810" t="s">
        <v>69</v>
      </c>
      <c r="P810" t="s">
        <v>69</v>
      </c>
      <c r="Q810">
        <v>2.85</v>
      </c>
      <c r="R810">
        <v>61</v>
      </c>
      <c r="S810">
        <v>41</v>
      </c>
      <c r="T810" t="s">
        <v>69</v>
      </c>
      <c r="U810">
        <v>7</v>
      </c>
      <c r="V810">
        <v>25</v>
      </c>
      <c r="W810" t="s">
        <v>69</v>
      </c>
      <c r="X810" t="s">
        <v>68</v>
      </c>
      <c r="Y810" t="s">
        <v>71</v>
      </c>
      <c r="Z810" t="s">
        <v>108</v>
      </c>
    </row>
    <row r="811" spans="1:26" x14ac:dyDescent="0.2">
      <c r="A811" t="s">
        <v>1541</v>
      </c>
      <c r="B811" t="s">
        <v>808</v>
      </c>
      <c r="C811" t="s">
        <v>143</v>
      </c>
      <c r="D811" t="s">
        <v>552</v>
      </c>
      <c r="E811" t="s">
        <v>553</v>
      </c>
      <c r="F811" t="s">
        <v>92</v>
      </c>
      <c r="G811" t="s">
        <v>65</v>
      </c>
      <c r="H811" t="s">
        <v>78</v>
      </c>
      <c r="I811" t="s">
        <v>99</v>
      </c>
      <c r="J811" s="3">
        <v>41083</v>
      </c>
      <c r="K811">
        <v>13.5</v>
      </c>
      <c r="L811">
        <v>39</v>
      </c>
      <c r="M811" s="4">
        <v>5200</v>
      </c>
      <c r="N811" s="4">
        <v>74612</v>
      </c>
      <c r="O811" t="s">
        <v>68</v>
      </c>
      <c r="P811" t="s">
        <v>69</v>
      </c>
      <c r="Q811">
        <v>3.31</v>
      </c>
      <c r="R811">
        <v>66</v>
      </c>
      <c r="S811">
        <v>43</v>
      </c>
      <c r="T811" t="s">
        <v>69</v>
      </c>
      <c r="U811">
        <v>11</v>
      </c>
      <c r="V811">
        <v>13</v>
      </c>
      <c r="W811" t="s">
        <v>70</v>
      </c>
      <c r="X811" t="s">
        <v>68</v>
      </c>
      <c r="Y811" t="s">
        <v>71</v>
      </c>
      <c r="Z811" t="s">
        <v>143</v>
      </c>
    </row>
    <row r="812" spans="1:26" x14ac:dyDescent="0.2">
      <c r="A812" t="s">
        <v>1542</v>
      </c>
      <c r="B812" t="s">
        <v>692</v>
      </c>
      <c r="C812" t="s">
        <v>61</v>
      </c>
      <c r="D812" t="s">
        <v>177</v>
      </c>
      <c r="E812" t="s">
        <v>639</v>
      </c>
      <c r="F812" t="s">
        <v>120</v>
      </c>
      <c r="G812" t="s">
        <v>65</v>
      </c>
      <c r="H812" t="s">
        <v>66</v>
      </c>
      <c r="I812" t="s">
        <v>105</v>
      </c>
      <c r="J812" s="3">
        <v>42924</v>
      </c>
      <c r="K812">
        <v>8.5</v>
      </c>
      <c r="L812">
        <v>30</v>
      </c>
      <c r="M812" s="4">
        <v>11100</v>
      </c>
      <c r="N812" s="4">
        <v>160236</v>
      </c>
      <c r="O812" t="s">
        <v>68</v>
      </c>
      <c r="P812" t="s">
        <v>68</v>
      </c>
      <c r="Q812">
        <v>3.11</v>
      </c>
      <c r="R812">
        <v>54</v>
      </c>
      <c r="S812">
        <v>21</v>
      </c>
      <c r="T812" t="s">
        <v>69</v>
      </c>
      <c r="U812">
        <v>5</v>
      </c>
      <c r="V812">
        <v>0</v>
      </c>
      <c r="W812" t="s">
        <v>70</v>
      </c>
      <c r="X812" t="s">
        <v>68</v>
      </c>
      <c r="Y812" t="s">
        <v>71</v>
      </c>
      <c r="Z812" t="s">
        <v>61</v>
      </c>
    </row>
    <row r="813" spans="1:26" x14ac:dyDescent="0.2">
      <c r="A813" t="s">
        <v>1543</v>
      </c>
      <c r="B813" t="s">
        <v>203</v>
      </c>
      <c r="C813" t="s">
        <v>96</v>
      </c>
      <c r="D813" t="s">
        <v>234</v>
      </c>
      <c r="E813" t="s">
        <v>408</v>
      </c>
      <c r="F813" t="s">
        <v>120</v>
      </c>
      <c r="G813" t="s">
        <v>65</v>
      </c>
      <c r="H813" t="s">
        <v>66</v>
      </c>
      <c r="I813" t="s">
        <v>99</v>
      </c>
      <c r="J813" s="3">
        <v>44085</v>
      </c>
      <c r="K813">
        <v>5.3</v>
      </c>
      <c r="L813">
        <v>36</v>
      </c>
      <c r="M813" s="4">
        <v>7500</v>
      </c>
      <c r="N813" s="4">
        <v>116890</v>
      </c>
      <c r="O813" t="s">
        <v>68</v>
      </c>
      <c r="P813" t="s">
        <v>69</v>
      </c>
      <c r="Q813">
        <v>2.73</v>
      </c>
      <c r="R813">
        <v>57</v>
      </c>
      <c r="S813">
        <v>48</v>
      </c>
      <c r="T813" t="s">
        <v>69</v>
      </c>
      <c r="U813">
        <v>0</v>
      </c>
      <c r="V813">
        <v>25</v>
      </c>
      <c r="W813" t="s">
        <v>70</v>
      </c>
      <c r="X813" t="s">
        <v>68</v>
      </c>
      <c r="Y813" t="s">
        <v>71</v>
      </c>
      <c r="Z813" t="s">
        <v>96</v>
      </c>
    </row>
    <row r="814" spans="1:26" x14ac:dyDescent="0.2">
      <c r="A814" t="s">
        <v>1544</v>
      </c>
      <c r="B814" t="s">
        <v>617</v>
      </c>
      <c r="C814" t="s">
        <v>108</v>
      </c>
      <c r="D814" t="s">
        <v>109</v>
      </c>
      <c r="E814" t="s">
        <v>355</v>
      </c>
      <c r="F814" t="s">
        <v>77</v>
      </c>
      <c r="G814" t="s">
        <v>65</v>
      </c>
      <c r="H814" t="s">
        <v>78</v>
      </c>
      <c r="I814" t="s">
        <v>93</v>
      </c>
      <c r="J814" s="3">
        <v>43785</v>
      </c>
      <c r="K814">
        <v>6.1</v>
      </c>
      <c r="L814">
        <v>33</v>
      </c>
      <c r="M814" s="4">
        <v>11300</v>
      </c>
      <c r="N814" s="4">
        <v>165298</v>
      </c>
      <c r="O814" t="s">
        <v>68</v>
      </c>
      <c r="P814" t="s">
        <v>69</v>
      </c>
      <c r="Q814">
        <v>3</v>
      </c>
      <c r="R814">
        <v>59</v>
      </c>
      <c r="S814">
        <v>27</v>
      </c>
      <c r="T814" t="s">
        <v>69</v>
      </c>
      <c r="U814">
        <v>14</v>
      </c>
      <c r="V814">
        <v>36</v>
      </c>
      <c r="W814" t="s">
        <v>70</v>
      </c>
      <c r="X814" t="s">
        <v>68</v>
      </c>
      <c r="Y814" t="s">
        <v>86</v>
      </c>
      <c r="Z814" t="s">
        <v>108</v>
      </c>
    </row>
    <row r="815" spans="1:26" x14ac:dyDescent="0.2">
      <c r="A815" t="s">
        <v>1545</v>
      </c>
      <c r="B815" t="s">
        <v>189</v>
      </c>
      <c r="C815" t="s">
        <v>74</v>
      </c>
      <c r="D815" t="s">
        <v>75</v>
      </c>
      <c r="E815" t="s">
        <v>204</v>
      </c>
      <c r="F815" t="s">
        <v>64</v>
      </c>
      <c r="G815" t="s">
        <v>65</v>
      </c>
      <c r="H815" t="s">
        <v>78</v>
      </c>
      <c r="I815" t="s">
        <v>111</v>
      </c>
      <c r="J815" s="3">
        <v>45880</v>
      </c>
      <c r="K815">
        <v>0.4</v>
      </c>
      <c r="L815">
        <v>25</v>
      </c>
      <c r="M815" s="4">
        <v>5700</v>
      </c>
      <c r="N815" s="4">
        <v>89201</v>
      </c>
      <c r="O815" t="s">
        <v>68</v>
      </c>
      <c r="P815" t="s">
        <v>68</v>
      </c>
      <c r="Q815">
        <v>2.4700000000000002</v>
      </c>
      <c r="R815">
        <v>62</v>
      </c>
      <c r="S815">
        <v>12</v>
      </c>
      <c r="T815" t="s">
        <v>69</v>
      </c>
      <c r="U815">
        <v>8</v>
      </c>
      <c r="V815">
        <v>0</v>
      </c>
      <c r="W815" t="s">
        <v>70</v>
      </c>
      <c r="X815" t="s">
        <v>68</v>
      </c>
      <c r="Y815" t="s">
        <v>71</v>
      </c>
      <c r="Z815" t="s">
        <v>74</v>
      </c>
    </row>
    <row r="816" spans="1:26" x14ac:dyDescent="0.2">
      <c r="A816" t="s">
        <v>1546</v>
      </c>
      <c r="B816" t="s">
        <v>1247</v>
      </c>
      <c r="C816" t="s">
        <v>12</v>
      </c>
      <c r="D816" t="s">
        <v>249</v>
      </c>
      <c r="E816" t="s">
        <v>1227</v>
      </c>
      <c r="F816" t="s">
        <v>77</v>
      </c>
      <c r="G816" t="s">
        <v>215</v>
      </c>
      <c r="H816" t="s">
        <v>66</v>
      </c>
      <c r="I816" t="s">
        <v>455</v>
      </c>
      <c r="J816" s="3">
        <v>43809</v>
      </c>
      <c r="K816">
        <v>6.1</v>
      </c>
      <c r="L816">
        <v>53</v>
      </c>
      <c r="M816" s="4">
        <v>9500</v>
      </c>
      <c r="N816" s="4">
        <v>138353</v>
      </c>
      <c r="O816" t="s">
        <v>68</v>
      </c>
      <c r="P816" t="s">
        <v>68</v>
      </c>
      <c r="Q816">
        <v>3.26</v>
      </c>
      <c r="R816">
        <v>77</v>
      </c>
      <c r="S816">
        <v>16</v>
      </c>
      <c r="T816" t="s">
        <v>69</v>
      </c>
      <c r="U816">
        <v>5</v>
      </c>
      <c r="V816">
        <v>22</v>
      </c>
      <c r="W816" t="s">
        <v>70</v>
      </c>
      <c r="X816" t="s">
        <v>68</v>
      </c>
      <c r="Y816" t="s">
        <v>71</v>
      </c>
      <c r="Z816" t="s">
        <v>12</v>
      </c>
    </row>
    <row r="817" spans="1:26" x14ac:dyDescent="0.2">
      <c r="A817" t="s">
        <v>1547</v>
      </c>
      <c r="B817" t="s">
        <v>345</v>
      </c>
      <c r="C817" t="s">
        <v>74</v>
      </c>
      <c r="D817" t="s">
        <v>118</v>
      </c>
      <c r="E817" t="s">
        <v>1053</v>
      </c>
      <c r="F817" t="s">
        <v>92</v>
      </c>
      <c r="G817" t="s">
        <v>65</v>
      </c>
      <c r="H817" t="s">
        <v>78</v>
      </c>
      <c r="I817" t="s">
        <v>67</v>
      </c>
      <c r="J817" s="3">
        <v>43925</v>
      </c>
      <c r="K817">
        <v>5.7</v>
      </c>
      <c r="L817">
        <v>39</v>
      </c>
      <c r="M817" s="4">
        <v>4600</v>
      </c>
      <c r="N817" s="4">
        <v>66459</v>
      </c>
      <c r="O817" t="s">
        <v>68</v>
      </c>
      <c r="P817" t="s">
        <v>69</v>
      </c>
      <c r="Q817">
        <v>3.03</v>
      </c>
      <c r="R817">
        <v>63</v>
      </c>
      <c r="S817">
        <v>5</v>
      </c>
      <c r="T817" t="s">
        <v>69</v>
      </c>
      <c r="U817">
        <v>10</v>
      </c>
      <c r="V817">
        <v>60</v>
      </c>
      <c r="W817" t="s">
        <v>70</v>
      </c>
      <c r="X817" t="s">
        <v>68</v>
      </c>
      <c r="Y817" t="s">
        <v>86</v>
      </c>
      <c r="Z817" t="s">
        <v>74</v>
      </c>
    </row>
    <row r="818" spans="1:26" x14ac:dyDescent="0.2">
      <c r="A818" t="s">
        <v>1548</v>
      </c>
      <c r="B818" t="s">
        <v>1413</v>
      </c>
      <c r="C818" t="s">
        <v>12</v>
      </c>
      <c r="D818" t="s">
        <v>82</v>
      </c>
      <c r="E818" t="s">
        <v>520</v>
      </c>
      <c r="F818" t="s">
        <v>77</v>
      </c>
      <c r="G818" t="s">
        <v>65</v>
      </c>
      <c r="H818" t="s">
        <v>66</v>
      </c>
      <c r="I818" t="s">
        <v>99</v>
      </c>
      <c r="J818" s="3">
        <v>41039</v>
      </c>
      <c r="K818">
        <v>13.7</v>
      </c>
      <c r="L818">
        <v>27</v>
      </c>
      <c r="M818" s="4">
        <v>8900</v>
      </c>
      <c r="N818" s="4">
        <v>145022</v>
      </c>
      <c r="O818" t="s">
        <v>68</v>
      </c>
      <c r="P818" t="s">
        <v>68</v>
      </c>
      <c r="Q818">
        <v>2.92</v>
      </c>
      <c r="R818">
        <v>64</v>
      </c>
      <c r="S818">
        <v>30</v>
      </c>
      <c r="T818" t="s">
        <v>69</v>
      </c>
      <c r="U818">
        <v>12</v>
      </c>
      <c r="V818">
        <v>0</v>
      </c>
      <c r="W818" t="s">
        <v>70</v>
      </c>
      <c r="X818" t="s">
        <v>68</v>
      </c>
      <c r="Y818" t="s">
        <v>71</v>
      </c>
      <c r="Z818" t="s">
        <v>12</v>
      </c>
    </row>
    <row r="819" spans="1:26" x14ac:dyDescent="0.2">
      <c r="A819" t="s">
        <v>1549</v>
      </c>
      <c r="B819" t="s">
        <v>304</v>
      </c>
      <c r="C819" t="s">
        <v>89</v>
      </c>
      <c r="D819" t="s">
        <v>239</v>
      </c>
      <c r="E819" t="s">
        <v>384</v>
      </c>
      <c r="F819" t="s">
        <v>136</v>
      </c>
      <c r="G819" t="s">
        <v>65</v>
      </c>
      <c r="H819" t="s">
        <v>66</v>
      </c>
      <c r="I819" t="s">
        <v>99</v>
      </c>
      <c r="J819" s="3">
        <v>42891</v>
      </c>
      <c r="K819">
        <v>8.6</v>
      </c>
      <c r="L819">
        <v>58</v>
      </c>
      <c r="M819" s="4">
        <v>15800</v>
      </c>
      <c r="N819" s="4">
        <v>248426</v>
      </c>
      <c r="O819" t="s">
        <v>69</v>
      </c>
      <c r="P819" t="s">
        <v>69</v>
      </c>
      <c r="Q819">
        <v>3.18</v>
      </c>
      <c r="R819">
        <v>69</v>
      </c>
      <c r="S819">
        <v>26</v>
      </c>
      <c r="T819" t="s">
        <v>69</v>
      </c>
      <c r="U819">
        <v>2</v>
      </c>
      <c r="V819">
        <v>24</v>
      </c>
      <c r="W819" t="s">
        <v>69</v>
      </c>
      <c r="X819" t="s">
        <v>68</v>
      </c>
      <c r="Y819" t="s">
        <v>71</v>
      </c>
      <c r="Z819" t="s">
        <v>89</v>
      </c>
    </row>
    <row r="820" spans="1:26" x14ac:dyDescent="0.2">
      <c r="A820" t="s">
        <v>1550</v>
      </c>
      <c r="B820" t="s">
        <v>1407</v>
      </c>
      <c r="C820" t="s">
        <v>74</v>
      </c>
      <c r="D820" t="s">
        <v>313</v>
      </c>
      <c r="E820" t="s">
        <v>358</v>
      </c>
      <c r="F820" t="s">
        <v>120</v>
      </c>
      <c r="G820" t="s">
        <v>215</v>
      </c>
      <c r="H820" t="s">
        <v>78</v>
      </c>
      <c r="I820" t="s">
        <v>148</v>
      </c>
      <c r="J820" s="3">
        <v>45020</v>
      </c>
      <c r="K820">
        <v>2.7</v>
      </c>
      <c r="L820">
        <v>27</v>
      </c>
      <c r="M820" s="4">
        <v>9300</v>
      </c>
      <c r="N820" s="4">
        <v>150964</v>
      </c>
      <c r="O820" t="s">
        <v>68</v>
      </c>
      <c r="P820" t="s">
        <v>68</v>
      </c>
      <c r="Q820">
        <v>3.49</v>
      </c>
      <c r="R820">
        <v>67</v>
      </c>
      <c r="S820">
        <v>53</v>
      </c>
      <c r="T820" t="s">
        <v>69</v>
      </c>
      <c r="U820">
        <v>7</v>
      </c>
      <c r="V820">
        <v>51</v>
      </c>
      <c r="W820" t="s">
        <v>70</v>
      </c>
      <c r="X820" t="s">
        <v>68</v>
      </c>
      <c r="Y820" t="s">
        <v>71</v>
      </c>
      <c r="Z820" t="s">
        <v>74</v>
      </c>
    </row>
    <row r="821" spans="1:26" x14ac:dyDescent="0.2">
      <c r="A821" t="s">
        <v>1551</v>
      </c>
      <c r="B821" t="s">
        <v>1474</v>
      </c>
      <c r="C821" t="s">
        <v>61</v>
      </c>
      <c r="D821" t="s">
        <v>218</v>
      </c>
      <c r="E821" t="s">
        <v>1552</v>
      </c>
      <c r="F821" t="s">
        <v>84</v>
      </c>
      <c r="G821" t="s">
        <v>65</v>
      </c>
      <c r="H821" t="s">
        <v>66</v>
      </c>
      <c r="I821" t="s">
        <v>99</v>
      </c>
      <c r="J821" s="3">
        <v>43556</v>
      </c>
      <c r="K821">
        <v>6.8</v>
      </c>
      <c r="L821">
        <v>28</v>
      </c>
      <c r="M821" s="4">
        <v>18000</v>
      </c>
      <c r="N821" s="4">
        <v>265139</v>
      </c>
      <c r="O821" t="s">
        <v>69</v>
      </c>
      <c r="P821" t="s">
        <v>68</v>
      </c>
      <c r="Q821">
        <v>3.31</v>
      </c>
      <c r="R821">
        <v>58</v>
      </c>
      <c r="S821">
        <v>33</v>
      </c>
      <c r="T821" t="s">
        <v>69</v>
      </c>
      <c r="U821">
        <v>7</v>
      </c>
      <c r="V821">
        <v>0</v>
      </c>
      <c r="W821" t="s">
        <v>68</v>
      </c>
      <c r="X821" t="s">
        <v>68</v>
      </c>
      <c r="Y821" t="s">
        <v>71</v>
      </c>
      <c r="Z821" t="s">
        <v>61</v>
      </c>
    </row>
    <row r="822" spans="1:26" x14ac:dyDescent="0.2">
      <c r="A822" t="s">
        <v>1553</v>
      </c>
      <c r="B822" t="s">
        <v>886</v>
      </c>
      <c r="C822" t="s">
        <v>102</v>
      </c>
      <c r="D822" t="s">
        <v>183</v>
      </c>
      <c r="E822" t="s">
        <v>415</v>
      </c>
      <c r="F822" t="s">
        <v>77</v>
      </c>
      <c r="G822" t="s">
        <v>85</v>
      </c>
      <c r="H822" t="s">
        <v>78</v>
      </c>
      <c r="I822" t="s">
        <v>79</v>
      </c>
      <c r="J822" s="3">
        <v>42966</v>
      </c>
      <c r="K822">
        <v>8.4</v>
      </c>
      <c r="L822">
        <v>47</v>
      </c>
      <c r="M822" s="4">
        <v>9800</v>
      </c>
      <c r="N822" s="4">
        <v>153485</v>
      </c>
      <c r="O822" t="s">
        <v>68</v>
      </c>
      <c r="P822" t="s">
        <v>69</v>
      </c>
      <c r="Q822">
        <v>2.99</v>
      </c>
      <c r="R822">
        <v>59</v>
      </c>
      <c r="S822">
        <v>5</v>
      </c>
      <c r="T822" t="s">
        <v>68</v>
      </c>
      <c r="U822">
        <v>7</v>
      </c>
      <c r="V822">
        <v>47</v>
      </c>
      <c r="W822" t="s">
        <v>70</v>
      </c>
      <c r="X822" t="s">
        <v>68</v>
      </c>
      <c r="Y822" t="s">
        <v>86</v>
      </c>
      <c r="Z822" t="s">
        <v>102</v>
      </c>
    </row>
    <row r="823" spans="1:26" x14ac:dyDescent="0.2">
      <c r="A823" t="s">
        <v>1554</v>
      </c>
      <c r="B823" t="s">
        <v>397</v>
      </c>
      <c r="C823" t="s">
        <v>133</v>
      </c>
      <c r="D823" t="s">
        <v>15</v>
      </c>
      <c r="E823" t="s">
        <v>890</v>
      </c>
      <c r="F823" t="s">
        <v>77</v>
      </c>
      <c r="G823" t="s">
        <v>215</v>
      </c>
      <c r="H823" t="s">
        <v>78</v>
      </c>
      <c r="I823" t="s">
        <v>67</v>
      </c>
      <c r="J823" s="3">
        <v>45228</v>
      </c>
      <c r="K823">
        <v>2.2000000000000002</v>
      </c>
      <c r="L823">
        <v>23</v>
      </c>
      <c r="M823" s="4">
        <v>10200</v>
      </c>
      <c r="N823" s="4">
        <v>165193</v>
      </c>
      <c r="O823" t="s">
        <v>68</v>
      </c>
      <c r="P823" t="s">
        <v>68</v>
      </c>
      <c r="Q823">
        <v>2.99</v>
      </c>
      <c r="R823">
        <v>79</v>
      </c>
      <c r="S823">
        <v>41</v>
      </c>
      <c r="T823" t="s">
        <v>69</v>
      </c>
      <c r="U823">
        <v>5</v>
      </c>
      <c r="V823">
        <v>23</v>
      </c>
      <c r="W823" t="s">
        <v>70</v>
      </c>
      <c r="X823" t="s">
        <v>68</v>
      </c>
      <c r="Y823" t="s">
        <v>71</v>
      </c>
      <c r="Z823" t="s">
        <v>133</v>
      </c>
    </row>
    <row r="824" spans="1:26" x14ac:dyDescent="0.2">
      <c r="A824" t="s">
        <v>1555</v>
      </c>
      <c r="B824" t="s">
        <v>936</v>
      </c>
      <c r="C824" t="s">
        <v>143</v>
      </c>
      <c r="D824" t="s">
        <v>552</v>
      </c>
      <c r="E824" t="s">
        <v>1556</v>
      </c>
      <c r="F824" t="s">
        <v>120</v>
      </c>
      <c r="G824" t="s">
        <v>65</v>
      </c>
      <c r="H824" t="s">
        <v>78</v>
      </c>
      <c r="I824" t="s">
        <v>99</v>
      </c>
      <c r="J824" s="3">
        <v>41473</v>
      </c>
      <c r="K824">
        <v>12.5</v>
      </c>
      <c r="L824">
        <v>37</v>
      </c>
      <c r="M824" s="4">
        <v>8100</v>
      </c>
      <c r="N824" s="4">
        <v>128345</v>
      </c>
      <c r="O824" t="s">
        <v>68</v>
      </c>
      <c r="P824" t="s">
        <v>69</v>
      </c>
      <c r="Q824">
        <v>2.83</v>
      </c>
      <c r="R824">
        <v>70</v>
      </c>
      <c r="S824">
        <v>27</v>
      </c>
      <c r="T824" t="s">
        <v>69</v>
      </c>
      <c r="U824">
        <v>11</v>
      </c>
      <c r="V824">
        <v>10</v>
      </c>
      <c r="W824" t="s">
        <v>70</v>
      </c>
      <c r="X824" t="s">
        <v>68</v>
      </c>
      <c r="Y824" t="s">
        <v>71</v>
      </c>
      <c r="Z824" t="s">
        <v>143</v>
      </c>
    </row>
    <row r="825" spans="1:26" x14ac:dyDescent="0.2">
      <c r="A825" t="s">
        <v>1557</v>
      </c>
      <c r="B825" t="s">
        <v>132</v>
      </c>
      <c r="C825" t="s">
        <v>108</v>
      </c>
      <c r="D825" t="s">
        <v>194</v>
      </c>
      <c r="E825" t="s">
        <v>1221</v>
      </c>
      <c r="F825" t="s">
        <v>84</v>
      </c>
      <c r="G825" t="s">
        <v>85</v>
      </c>
      <c r="H825" t="s">
        <v>78</v>
      </c>
      <c r="I825" t="s">
        <v>554</v>
      </c>
      <c r="J825" s="3">
        <v>43540</v>
      </c>
      <c r="K825">
        <v>6.8</v>
      </c>
      <c r="L825">
        <v>42</v>
      </c>
      <c r="M825" s="4">
        <v>16300</v>
      </c>
      <c r="N825" s="4">
        <v>254620</v>
      </c>
      <c r="O825" t="s">
        <v>69</v>
      </c>
      <c r="P825" t="s">
        <v>69</v>
      </c>
      <c r="Q825">
        <v>3.09</v>
      </c>
      <c r="R825">
        <v>72</v>
      </c>
      <c r="S825">
        <v>43</v>
      </c>
      <c r="T825" t="s">
        <v>69</v>
      </c>
      <c r="U825">
        <v>5</v>
      </c>
      <c r="V825">
        <v>22</v>
      </c>
      <c r="W825" t="s">
        <v>68</v>
      </c>
      <c r="X825" t="s">
        <v>68</v>
      </c>
      <c r="Y825" t="s">
        <v>71</v>
      </c>
      <c r="Z825" t="s">
        <v>108</v>
      </c>
    </row>
    <row r="826" spans="1:26" x14ac:dyDescent="0.2">
      <c r="A826" t="s">
        <v>1558</v>
      </c>
      <c r="B826" t="s">
        <v>906</v>
      </c>
      <c r="C826" t="s">
        <v>12</v>
      </c>
      <c r="D826" t="s">
        <v>82</v>
      </c>
      <c r="E826" t="s">
        <v>982</v>
      </c>
      <c r="F826" t="s">
        <v>120</v>
      </c>
      <c r="G826" t="s">
        <v>65</v>
      </c>
      <c r="H826" t="s">
        <v>78</v>
      </c>
      <c r="I826" t="s">
        <v>99</v>
      </c>
      <c r="J826" s="3">
        <v>43048</v>
      </c>
      <c r="K826">
        <v>8.1999999999999993</v>
      </c>
      <c r="L826">
        <v>32</v>
      </c>
      <c r="M826" s="4">
        <v>8900</v>
      </c>
      <c r="N826" s="4">
        <v>128903</v>
      </c>
      <c r="O826" t="s">
        <v>68</v>
      </c>
      <c r="P826" t="s">
        <v>68</v>
      </c>
      <c r="Q826">
        <v>3.8</v>
      </c>
      <c r="R826">
        <v>79</v>
      </c>
      <c r="S826">
        <v>40</v>
      </c>
      <c r="T826" t="s">
        <v>69</v>
      </c>
      <c r="U826">
        <v>0</v>
      </c>
      <c r="V826">
        <v>22</v>
      </c>
      <c r="W826" t="s">
        <v>70</v>
      </c>
      <c r="X826" t="s">
        <v>69</v>
      </c>
      <c r="Y826" t="s">
        <v>71</v>
      </c>
      <c r="Z826" t="s">
        <v>12</v>
      </c>
    </row>
    <row r="827" spans="1:26" x14ac:dyDescent="0.2">
      <c r="A827" t="s">
        <v>1559</v>
      </c>
      <c r="B827" t="s">
        <v>263</v>
      </c>
      <c r="C827" t="s">
        <v>61</v>
      </c>
      <c r="D827" t="s">
        <v>177</v>
      </c>
      <c r="E827" t="s">
        <v>776</v>
      </c>
      <c r="F827" t="s">
        <v>136</v>
      </c>
      <c r="G827" t="s">
        <v>65</v>
      </c>
      <c r="H827" t="s">
        <v>66</v>
      </c>
      <c r="I827" t="s">
        <v>99</v>
      </c>
      <c r="J827" s="3">
        <v>41047</v>
      </c>
      <c r="K827">
        <v>13.6</v>
      </c>
      <c r="L827">
        <v>34</v>
      </c>
      <c r="M827" s="4">
        <v>16100</v>
      </c>
      <c r="N827" s="4">
        <v>246754</v>
      </c>
      <c r="O827" t="s">
        <v>68</v>
      </c>
      <c r="P827" t="s">
        <v>68</v>
      </c>
      <c r="Q827">
        <v>3.25</v>
      </c>
      <c r="R827">
        <v>68</v>
      </c>
      <c r="S827">
        <v>21</v>
      </c>
      <c r="T827" t="s">
        <v>69</v>
      </c>
      <c r="U827">
        <v>8</v>
      </c>
      <c r="V827">
        <v>1</v>
      </c>
      <c r="W827" t="s">
        <v>70</v>
      </c>
      <c r="X827" t="s">
        <v>68</v>
      </c>
      <c r="Y827" t="s">
        <v>71</v>
      </c>
      <c r="Z827" t="s">
        <v>61</v>
      </c>
    </row>
    <row r="828" spans="1:26" x14ac:dyDescent="0.2">
      <c r="A828" t="s">
        <v>1560</v>
      </c>
      <c r="B828" t="s">
        <v>674</v>
      </c>
      <c r="C828" t="s">
        <v>89</v>
      </c>
      <c r="D828" t="s">
        <v>154</v>
      </c>
      <c r="E828" t="s">
        <v>887</v>
      </c>
      <c r="F828" t="s">
        <v>84</v>
      </c>
      <c r="G828" t="s">
        <v>65</v>
      </c>
      <c r="H828" t="s">
        <v>78</v>
      </c>
      <c r="I828" t="s">
        <v>148</v>
      </c>
      <c r="J828" s="3">
        <v>44837</v>
      </c>
      <c r="K828">
        <v>3.2</v>
      </c>
      <c r="L828">
        <v>32</v>
      </c>
      <c r="M828" s="4">
        <v>18200</v>
      </c>
      <c r="N828" s="4">
        <v>265421</v>
      </c>
      <c r="O828" t="s">
        <v>69</v>
      </c>
      <c r="P828" t="s">
        <v>69</v>
      </c>
      <c r="Q828">
        <v>2.69</v>
      </c>
      <c r="R828">
        <v>75</v>
      </c>
      <c r="S828">
        <v>34</v>
      </c>
      <c r="T828" t="s">
        <v>69</v>
      </c>
      <c r="U828">
        <v>0</v>
      </c>
      <c r="V828">
        <v>41</v>
      </c>
      <c r="W828" t="s">
        <v>69</v>
      </c>
      <c r="X828" t="s">
        <v>68</v>
      </c>
      <c r="Y828" t="s">
        <v>71</v>
      </c>
      <c r="Z828" t="s">
        <v>89</v>
      </c>
    </row>
    <row r="829" spans="1:26" x14ac:dyDescent="0.2">
      <c r="A829" t="s">
        <v>1561</v>
      </c>
      <c r="B829" t="s">
        <v>906</v>
      </c>
      <c r="C829" t="s">
        <v>143</v>
      </c>
      <c r="D829" t="s">
        <v>552</v>
      </c>
      <c r="E829" t="s">
        <v>1556</v>
      </c>
      <c r="F829" t="s">
        <v>120</v>
      </c>
      <c r="G829" t="s">
        <v>65</v>
      </c>
      <c r="H829" t="s">
        <v>78</v>
      </c>
      <c r="I829" t="s">
        <v>93</v>
      </c>
      <c r="J829" s="3">
        <v>44577</v>
      </c>
      <c r="K829">
        <v>4</v>
      </c>
      <c r="L829">
        <v>37</v>
      </c>
      <c r="M829" s="4">
        <v>7000</v>
      </c>
      <c r="N829" s="4">
        <v>101649</v>
      </c>
      <c r="O829" t="s">
        <v>68</v>
      </c>
      <c r="P829" t="s">
        <v>69</v>
      </c>
      <c r="Q829">
        <v>2.6</v>
      </c>
      <c r="R829">
        <v>87</v>
      </c>
      <c r="S829">
        <v>18</v>
      </c>
      <c r="T829" t="s">
        <v>69</v>
      </c>
      <c r="U829">
        <v>5</v>
      </c>
      <c r="V829">
        <v>22</v>
      </c>
      <c r="W829" t="s">
        <v>70</v>
      </c>
      <c r="X829" t="s">
        <v>68</v>
      </c>
      <c r="Y829" t="s">
        <v>71</v>
      </c>
      <c r="Z829" t="s">
        <v>143</v>
      </c>
    </row>
    <row r="830" spans="1:26" x14ac:dyDescent="0.2">
      <c r="A830" t="s">
        <v>1562</v>
      </c>
      <c r="B830" t="s">
        <v>335</v>
      </c>
      <c r="C830" t="s">
        <v>143</v>
      </c>
      <c r="D830" t="s">
        <v>158</v>
      </c>
      <c r="E830" t="s">
        <v>607</v>
      </c>
      <c r="F830" t="s">
        <v>92</v>
      </c>
      <c r="G830" t="s">
        <v>65</v>
      </c>
      <c r="H830" t="s">
        <v>78</v>
      </c>
      <c r="I830" t="s">
        <v>111</v>
      </c>
      <c r="J830" s="3">
        <v>41666</v>
      </c>
      <c r="K830">
        <v>11.9</v>
      </c>
      <c r="L830">
        <v>22</v>
      </c>
      <c r="M830" s="4">
        <v>5000</v>
      </c>
      <c r="N830" s="4">
        <v>80229</v>
      </c>
      <c r="O830" t="s">
        <v>68</v>
      </c>
      <c r="P830" t="s">
        <v>69</v>
      </c>
      <c r="Q830">
        <v>3.39</v>
      </c>
      <c r="R830">
        <v>73</v>
      </c>
      <c r="S830">
        <v>25</v>
      </c>
      <c r="T830" t="s">
        <v>69</v>
      </c>
      <c r="U830">
        <v>7</v>
      </c>
      <c r="V830">
        <v>45</v>
      </c>
      <c r="W830" t="s">
        <v>70</v>
      </c>
      <c r="X830" t="s">
        <v>68</v>
      </c>
      <c r="Y830" t="s">
        <v>86</v>
      </c>
      <c r="Z830" t="s">
        <v>143</v>
      </c>
    </row>
    <row r="831" spans="1:26" x14ac:dyDescent="0.2">
      <c r="A831" t="s">
        <v>1563</v>
      </c>
      <c r="B831" t="s">
        <v>229</v>
      </c>
      <c r="C831" t="s">
        <v>133</v>
      </c>
      <c r="D831" t="s">
        <v>213</v>
      </c>
      <c r="E831" t="s">
        <v>1102</v>
      </c>
      <c r="F831" t="s">
        <v>64</v>
      </c>
      <c r="G831" t="s">
        <v>215</v>
      </c>
      <c r="H831" t="s">
        <v>66</v>
      </c>
      <c r="I831" t="s">
        <v>67</v>
      </c>
      <c r="J831" s="3">
        <v>44877</v>
      </c>
      <c r="K831">
        <v>3.1</v>
      </c>
      <c r="L831">
        <v>52</v>
      </c>
      <c r="M831" s="4">
        <v>6400</v>
      </c>
      <c r="N831" s="4">
        <v>100990</v>
      </c>
      <c r="O831" t="s">
        <v>68</v>
      </c>
      <c r="P831" t="s">
        <v>68</v>
      </c>
      <c r="Q831">
        <v>3.04</v>
      </c>
      <c r="R831">
        <v>64</v>
      </c>
      <c r="S831">
        <v>14</v>
      </c>
      <c r="T831" t="s">
        <v>68</v>
      </c>
      <c r="U831">
        <v>7</v>
      </c>
      <c r="V831">
        <v>5</v>
      </c>
      <c r="W831" t="s">
        <v>70</v>
      </c>
      <c r="X831" t="s">
        <v>68</v>
      </c>
      <c r="Y831" t="s">
        <v>71</v>
      </c>
      <c r="Z831" t="s">
        <v>133</v>
      </c>
    </row>
    <row r="832" spans="1:26" x14ac:dyDescent="0.2">
      <c r="A832" t="s">
        <v>1564</v>
      </c>
      <c r="B832" t="s">
        <v>1565</v>
      </c>
      <c r="C832" t="s">
        <v>124</v>
      </c>
      <c r="D832" t="s">
        <v>243</v>
      </c>
      <c r="E832" t="s">
        <v>668</v>
      </c>
      <c r="F832" t="s">
        <v>77</v>
      </c>
      <c r="G832" t="s">
        <v>65</v>
      </c>
      <c r="H832" t="s">
        <v>66</v>
      </c>
      <c r="I832" t="s">
        <v>67</v>
      </c>
      <c r="J832" s="3">
        <v>45993</v>
      </c>
      <c r="K832">
        <v>0.1</v>
      </c>
      <c r="L832">
        <v>56</v>
      </c>
      <c r="M832" s="4">
        <v>9400</v>
      </c>
      <c r="N832" s="4">
        <v>140173</v>
      </c>
      <c r="O832" t="s">
        <v>68</v>
      </c>
      <c r="P832" t="s">
        <v>68</v>
      </c>
      <c r="Q832">
        <v>3.42</v>
      </c>
      <c r="R832">
        <v>61</v>
      </c>
      <c r="S832">
        <v>12</v>
      </c>
      <c r="T832" t="s">
        <v>69</v>
      </c>
      <c r="U832">
        <v>0</v>
      </c>
      <c r="V832">
        <v>11</v>
      </c>
      <c r="W832" t="s">
        <v>70</v>
      </c>
      <c r="X832" t="s">
        <v>68</v>
      </c>
      <c r="Y832" t="s">
        <v>71</v>
      </c>
      <c r="Z832" t="s">
        <v>124</v>
      </c>
    </row>
    <row r="833" spans="1:26" x14ac:dyDescent="0.2">
      <c r="A833" t="s">
        <v>1566</v>
      </c>
      <c r="B833" t="s">
        <v>800</v>
      </c>
      <c r="C833" t="s">
        <v>133</v>
      </c>
      <c r="D833" t="s">
        <v>15</v>
      </c>
      <c r="E833" t="s">
        <v>890</v>
      </c>
      <c r="F833" t="s">
        <v>77</v>
      </c>
      <c r="G833" t="s">
        <v>65</v>
      </c>
      <c r="H833" t="s">
        <v>78</v>
      </c>
      <c r="I833" t="s">
        <v>111</v>
      </c>
      <c r="J833" s="3">
        <v>44816</v>
      </c>
      <c r="K833">
        <v>3.3</v>
      </c>
      <c r="L833">
        <v>59</v>
      </c>
      <c r="M833" s="4">
        <v>11600</v>
      </c>
      <c r="N833" s="4">
        <v>167782</v>
      </c>
      <c r="O833" t="s">
        <v>68</v>
      </c>
      <c r="P833" t="s">
        <v>68</v>
      </c>
      <c r="Q833">
        <v>2.2200000000000002</v>
      </c>
      <c r="R833">
        <v>46</v>
      </c>
      <c r="S833">
        <v>22</v>
      </c>
      <c r="T833" t="s">
        <v>69</v>
      </c>
      <c r="U833">
        <v>4</v>
      </c>
      <c r="V833">
        <v>24</v>
      </c>
      <c r="W833" t="s">
        <v>70</v>
      </c>
      <c r="X833" t="s">
        <v>68</v>
      </c>
      <c r="Y833" t="s">
        <v>86</v>
      </c>
      <c r="Z833" t="s">
        <v>133</v>
      </c>
    </row>
    <row r="834" spans="1:26" x14ac:dyDescent="0.2">
      <c r="A834" t="s">
        <v>1567</v>
      </c>
      <c r="B834" t="s">
        <v>1375</v>
      </c>
      <c r="C834" t="s">
        <v>124</v>
      </c>
      <c r="D834" t="s">
        <v>391</v>
      </c>
      <c r="E834" t="s">
        <v>1568</v>
      </c>
      <c r="F834" t="s">
        <v>120</v>
      </c>
      <c r="G834" t="s">
        <v>65</v>
      </c>
      <c r="H834" t="s">
        <v>66</v>
      </c>
      <c r="I834" t="s">
        <v>67</v>
      </c>
      <c r="J834" s="3">
        <v>41685</v>
      </c>
      <c r="K834">
        <v>11.9</v>
      </c>
      <c r="L834">
        <v>24</v>
      </c>
      <c r="M834" s="4">
        <v>8100</v>
      </c>
      <c r="N834" s="4">
        <v>118705</v>
      </c>
      <c r="O834" t="s">
        <v>68</v>
      </c>
      <c r="P834" t="s">
        <v>68</v>
      </c>
      <c r="Q834">
        <v>2.4700000000000002</v>
      </c>
      <c r="R834">
        <v>55</v>
      </c>
      <c r="S834">
        <v>49</v>
      </c>
      <c r="T834" t="s">
        <v>69</v>
      </c>
      <c r="U834">
        <v>12</v>
      </c>
      <c r="V834">
        <v>7</v>
      </c>
      <c r="W834" t="s">
        <v>70</v>
      </c>
      <c r="X834" t="s">
        <v>68</v>
      </c>
      <c r="Y834" t="s">
        <v>71</v>
      </c>
      <c r="Z834" t="s">
        <v>124</v>
      </c>
    </row>
    <row r="835" spans="1:26" x14ac:dyDescent="0.2">
      <c r="A835" t="s">
        <v>1569</v>
      </c>
      <c r="B835" t="s">
        <v>275</v>
      </c>
      <c r="C835" t="s">
        <v>89</v>
      </c>
      <c r="D835" t="s">
        <v>154</v>
      </c>
      <c r="E835" t="s">
        <v>155</v>
      </c>
      <c r="F835" t="s">
        <v>120</v>
      </c>
      <c r="G835" t="s">
        <v>65</v>
      </c>
      <c r="H835" t="s">
        <v>66</v>
      </c>
      <c r="I835" t="s">
        <v>93</v>
      </c>
      <c r="J835" s="3">
        <v>44371</v>
      </c>
      <c r="K835">
        <v>4.5</v>
      </c>
      <c r="L835">
        <v>46</v>
      </c>
      <c r="M835" s="4">
        <v>7900</v>
      </c>
      <c r="N835" s="4">
        <v>112007</v>
      </c>
      <c r="O835" t="s">
        <v>68</v>
      </c>
      <c r="P835" t="s">
        <v>69</v>
      </c>
      <c r="Q835">
        <v>2.85</v>
      </c>
      <c r="R835">
        <v>59</v>
      </c>
      <c r="S835">
        <v>44</v>
      </c>
      <c r="T835" t="s">
        <v>69</v>
      </c>
      <c r="U835">
        <v>11</v>
      </c>
      <c r="V835">
        <v>11</v>
      </c>
      <c r="W835" t="s">
        <v>70</v>
      </c>
      <c r="X835" t="s">
        <v>68</v>
      </c>
      <c r="Y835" t="s">
        <v>71</v>
      </c>
      <c r="Z835" t="s">
        <v>89</v>
      </c>
    </row>
    <row r="836" spans="1:26" x14ac:dyDescent="0.2">
      <c r="A836" t="s">
        <v>1570</v>
      </c>
      <c r="B836" t="s">
        <v>1156</v>
      </c>
      <c r="C836" t="s">
        <v>96</v>
      </c>
      <c r="D836" t="s">
        <v>234</v>
      </c>
      <c r="E836" t="s">
        <v>408</v>
      </c>
      <c r="F836" t="s">
        <v>120</v>
      </c>
      <c r="G836" t="s">
        <v>85</v>
      </c>
      <c r="H836" t="s">
        <v>66</v>
      </c>
      <c r="I836" t="s">
        <v>99</v>
      </c>
      <c r="J836" s="3">
        <v>44973</v>
      </c>
      <c r="K836">
        <v>2.9</v>
      </c>
      <c r="L836">
        <v>41</v>
      </c>
      <c r="M836" s="4">
        <v>7300</v>
      </c>
      <c r="N836" s="4">
        <v>107893</v>
      </c>
      <c r="O836" t="s">
        <v>68</v>
      </c>
      <c r="P836" t="s">
        <v>69</v>
      </c>
      <c r="Q836">
        <v>4</v>
      </c>
      <c r="R836">
        <v>65</v>
      </c>
      <c r="S836">
        <v>23</v>
      </c>
      <c r="T836" t="s">
        <v>69</v>
      </c>
      <c r="U836">
        <v>2</v>
      </c>
      <c r="V836">
        <v>0</v>
      </c>
      <c r="W836" t="s">
        <v>70</v>
      </c>
      <c r="X836" t="s">
        <v>69</v>
      </c>
      <c r="Y836" t="s">
        <v>71</v>
      </c>
      <c r="Z836" t="s">
        <v>96</v>
      </c>
    </row>
    <row r="837" spans="1:26" x14ac:dyDescent="0.2">
      <c r="A837" t="s">
        <v>1571</v>
      </c>
      <c r="B837" t="s">
        <v>515</v>
      </c>
      <c r="C837" t="s">
        <v>108</v>
      </c>
      <c r="D837" t="s">
        <v>109</v>
      </c>
      <c r="E837" t="s">
        <v>600</v>
      </c>
      <c r="F837" t="s">
        <v>120</v>
      </c>
      <c r="G837" t="s">
        <v>65</v>
      </c>
      <c r="H837" t="s">
        <v>78</v>
      </c>
      <c r="I837" t="s">
        <v>111</v>
      </c>
      <c r="J837" s="3">
        <v>45691</v>
      </c>
      <c r="K837">
        <v>0.9</v>
      </c>
      <c r="L837">
        <v>47</v>
      </c>
      <c r="M837" s="4">
        <v>7500</v>
      </c>
      <c r="N837" s="4">
        <v>119423</v>
      </c>
      <c r="O837" t="s">
        <v>69</v>
      </c>
      <c r="P837" t="s">
        <v>69</v>
      </c>
      <c r="Q837">
        <v>3.26</v>
      </c>
      <c r="R837">
        <v>93</v>
      </c>
      <c r="S837">
        <v>44</v>
      </c>
      <c r="T837" t="s">
        <v>69</v>
      </c>
      <c r="U837">
        <v>3</v>
      </c>
      <c r="V837">
        <v>24</v>
      </c>
      <c r="W837" t="s">
        <v>69</v>
      </c>
      <c r="X837" t="s">
        <v>68</v>
      </c>
      <c r="Y837" t="s">
        <v>71</v>
      </c>
      <c r="Z837" t="s">
        <v>108</v>
      </c>
    </row>
    <row r="838" spans="1:26" x14ac:dyDescent="0.2">
      <c r="A838" t="s">
        <v>1572</v>
      </c>
      <c r="B838" t="s">
        <v>817</v>
      </c>
      <c r="C838" t="s">
        <v>108</v>
      </c>
      <c r="D838" t="s">
        <v>109</v>
      </c>
      <c r="E838" t="s">
        <v>600</v>
      </c>
      <c r="F838" t="s">
        <v>120</v>
      </c>
      <c r="G838" t="s">
        <v>65</v>
      </c>
      <c r="H838" t="s">
        <v>78</v>
      </c>
      <c r="I838" t="s">
        <v>111</v>
      </c>
      <c r="J838" s="3">
        <v>45382</v>
      </c>
      <c r="K838">
        <v>1.8</v>
      </c>
      <c r="L838">
        <v>46</v>
      </c>
      <c r="M838" s="4">
        <v>9000</v>
      </c>
      <c r="N838" s="4">
        <v>130862</v>
      </c>
      <c r="O838" t="s">
        <v>68</v>
      </c>
      <c r="P838" t="s">
        <v>69</v>
      </c>
      <c r="Q838">
        <v>1.62</v>
      </c>
      <c r="R838">
        <v>59</v>
      </c>
      <c r="S838">
        <v>41</v>
      </c>
      <c r="T838" t="s">
        <v>69</v>
      </c>
      <c r="U838">
        <v>1</v>
      </c>
      <c r="V838">
        <v>40</v>
      </c>
      <c r="W838" t="s">
        <v>70</v>
      </c>
      <c r="X838" t="s">
        <v>68</v>
      </c>
      <c r="Y838" t="s">
        <v>86</v>
      </c>
      <c r="Z838" t="s">
        <v>108</v>
      </c>
    </row>
    <row r="839" spans="1:26" x14ac:dyDescent="0.2">
      <c r="A839" t="s">
        <v>1573</v>
      </c>
      <c r="B839" t="s">
        <v>238</v>
      </c>
      <c r="C839" t="s">
        <v>89</v>
      </c>
      <c r="D839" t="s">
        <v>239</v>
      </c>
      <c r="E839" t="s">
        <v>261</v>
      </c>
      <c r="F839" t="s">
        <v>64</v>
      </c>
      <c r="G839" t="s">
        <v>65</v>
      </c>
      <c r="H839" t="s">
        <v>66</v>
      </c>
      <c r="I839" t="s">
        <v>148</v>
      </c>
      <c r="J839" s="3">
        <v>45548</v>
      </c>
      <c r="K839">
        <v>1.3</v>
      </c>
      <c r="L839">
        <v>24</v>
      </c>
      <c r="M839" s="4">
        <v>7300</v>
      </c>
      <c r="N839" s="4">
        <v>111918</v>
      </c>
      <c r="O839" t="s">
        <v>68</v>
      </c>
      <c r="P839" t="s">
        <v>69</v>
      </c>
      <c r="Q839">
        <v>3.3</v>
      </c>
      <c r="R839">
        <v>78</v>
      </c>
      <c r="S839">
        <v>16</v>
      </c>
      <c r="T839" t="s">
        <v>69</v>
      </c>
      <c r="U839">
        <v>6</v>
      </c>
      <c r="V839">
        <v>51</v>
      </c>
      <c r="W839" t="s">
        <v>70</v>
      </c>
      <c r="X839" t="s">
        <v>68</v>
      </c>
      <c r="Y839" t="s">
        <v>71</v>
      </c>
      <c r="Z839" t="s">
        <v>89</v>
      </c>
    </row>
    <row r="840" spans="1:26" x14ac:dyDescent="0.2">
      <c r="A840" t="s">
        <v>1574</v>
      </c>
      <c r="B840" t="s">
        <v>815</v>
      </c>
      <c r="C840" t="s">
        <v>102</v>
      </c>
      <c r="D840" t="s">
        <v>166</v>
      </c>
      <c r="E840" t="s">
        <v>879</v>
      </c>
      <c r="F840" t="s">
        <v>120</v>
      </c>
      <c r="G840" t="s">
        <v>85</v>
      </c>
      <c r="H840" t="s">
        <v>66</v>
      </c>
      <c r="I840" t="s">
        <v>148</v>
      </c>
      <c r="J840" s="3">
        <v>42119</v>
      </c>
      <c r="K840">
        <v>10.7</v>
      </c>
      <c r="L840">
        <v>40</v>
      </c>
      <c r="M840" s="4">
        <v>8000</v>
      </c>
      <c r="N840" s="4">
        <v>129998</v>
      </c>
      <c r="O840" t="s">
        <v>68</v>
      </c>
      <c r="P840" t="s">
        <v>69</v>
      </c>
      <c r="Q840">
        <v>2.69</v>
      </c>
      <c r="R840">
        <v>70</v>
      </c>
      <c r="S840">
        <v>34</v>
      </c>
      <c r="T840" t="s">
        <v>69</v>
      </c>
      <c r="U840">
        <v>3</v>
      </c>
      <c r="V840">
        <v>41</v>
      </c>
      <c r="W840" t="s">
        <v>70</v>
      </c>
      <c r="X840" t="s">
        <v>68</v>
      </c>
      <c r="Y840" t="s">
        <v>71</v>
      </c>
      <c r="Z840" t="s">
        <v>102</v>
      </c>
    </row>
    <row r="841" spans="1:26" x14ac:dyDescent="0.2">
      <c r="A841" t="s">
        <v>1575</v>
      </c>
      <c r="B841" t="s">
        <v>335</v>
      </c>
      <c r="C841" t="s">
        <v>61</v>
      </c>
      <c r="D841" t="s">
        <v>177</v>
      </c>
      <c r="E841" t="s">
        <v>1127</v>
      </c>
      <c r="F841" t="s">
        <v>84</v>
      </c>
      <c r="G841" t="s">
        <v>65</v>
      </c>
      <c r="H841" t="s">
        <v>66</v>
      </c>
      <c r="I841" t="s">
        <v>99</v>
      </c>
      <c r="J841" s="3">
        <v>44894</v>
      </c>
      <c r="K841">
        <v>3.1</v>
      </c>
      <c r="L841">
        <v>52</v>
      </c>
      <c r="M841" s="4">
        <v>16900</v>
      </c>
      <c r="N841" s="4">
        <v>258302</v>
      </c>
      <c r="O841" t="s">
        <v>69</v>
      </c>
      <c r="P841" t="s">
        <v>68</v>
      </c>
      <c r="Q841">
        <v>2.57</v>
      </c>
      <c r="R841">
        <v>61</v>
      </c>
      <c r="S841">
        <v>40</v>
      </c>
      <c r="T841" t="s">
        <v>69</v>
      </c>
      <c r="U841">
        <v>3</v>
      </c>
      <c r="V841">
        <v>24</v>
      </c>
      <c r="W841" t="s">
        <v>69</v>
      </c>
      <c r="X841" t="s">
        <v>68</v>
      </c>
      <c r="Y841" t="s">
        <v>71</v>
      </c>
      <c r="Z841" t="s">
        <v>61</v>
      </c>
    </row>
    <row r="842" spans="1:26" x14ac:dyDescent="0.2">
      <c r="A842" t="s">
        <v>1576</v>
      </c>
      <c r="B842" t="s">
        <v>316</v>
      </c>
      <c r="C842" t="s">
        <v>143</v>
      </c>
      <c r="D842" t="s">
        <v>158</v>
      </c>
      <c r="E842" t="s">
        <v>1239</v>
      </c>
      <c r="F842" t="s">
        <v>64</v>
      </c>
      <c r="G842" t="s">
        <v>65</v>
      </c>
      <c r="H842" t="s">
        <v>66</v>
      </c>
      <c r="I842" t="s">
        <v>111</v>
      </c>
      <c r="J842" s="3">
        <v>41616</v>
      </c>
      <c r="K842">
        <v>12.1</v>
      </c>
      <c r="L842">
        <v>29</v>
      </c>
      <c r="M842" s="4">
        <v>4600</v>
      </c>
      <c r="N842" s="4">
        <v>74240</v>
      </c>
      <c r="O842" t="s">
        <v>68</v>
      </c>
      <c r="P842" t="s">
        <v>69</v>
      </c>
      <c r="Q842">
        <v>3.82</v>
      </c>
      <c r="R842">
        <v>69</v>
      </c>
      <c r="S842">
        <v>33</v>
      </c>
      <c r="T842" t="s">
        <v>69</v>
      </c>
      <c r="U842">
        <v>2</v>
      </c>
      <c r="V842">
        <v>12</v>
      </c>
      <c r="W842" t="s">
        <v>70</v>
      </c>
      <c r="X842" t="s">
        <v>69</v>
      </c>
      <c r="Y842" t="s">
        <v>71</v>
      </c>
      <c r="Z842" t="s">
        <v>143</v>
      </c>
    </row>
    <row r="843" spans="1:26" x14ac:dyDescent="0.2">
      <c r="A843" t="s">
        <v>1577</v>
      </c>
      <c r="B843" t="s">
        <v>1578</v>
      </c>
      <c r="C843" t="s">
        <v>102</v>
      </c>
      <c r="D843" t="s">
        <v>103</v>
      </c>
      <c r="E843" t="s">
        <v>503</v>
      </c>
      <c r="F843" t="s">
        <v>136</v>
      </c>
      <c r="G843" t="s">
        <v>65</v>
      </c>
      <c r="H843" t="s">
        <v>78</v>
      </c>
      <c r="I843" t="s">
        <v>79</v>
      </c>
      <c r="J843" s="3">
        <v>41963</v>
      </c>
      <c r="K843">
        <v>11.1</v>
      </c>
      <c r="L843">
        <v>49</v>
      </c>
      <c r="M843" s="4">
        <v>16500</v>
      </c>
      <c r="N843" s="4">
        <v>253403</v>
      </c>
      <c r="O843" t="s">
        <v>68</v>
      </c>
      <c r="P843" t="s">
        <v>69</v>
      </c>
      <c r="Q843">
        <v>2.9</v>
      </c>
      <c r="R843">
        <v>46</v>
      </c>
      <c r="S843">
        <v>39</v>
      </c>
      <c r="T843" t="s">
        <v>69</v>
      </c>
      <c r="U843">
        <v>5</v>
      </c>
      <c r="V843">
        <v>32</v>
      </c>
      <c r="W843" t="s">
        <v>70</v>
      </c>
      <c r="X843" t="s">
        <v>68</v>
      </c>
      <c r="Y843" t="s">
        <v>86</v>
      </c>
      <c r="Z843" t="s">
        <v>102</v>
      </c>
    </row>
    <row r="844" spans="1:26" x14ac:dyDescent="0.2">
      <c r="A844" t="s">
        <v>1579</v>
      </c>
      <c r="B844" t="s">
        <v>998</v>
      </c>
      <c r="C844" t="s">
        <v>61</v>
      </c>
      <c r="D844" t="s">
        <v>177</v>
      </c>
      <c r="E844" t="s">
        <v>178</v>
      </c>
      <c r="F844" t="s">
        <v>77</v>
      </c>
      <c r="G844" t="s">
        <v>65</v>
      </c>
      <c r="H844" t="s">
        <v>66</v>
      </c>
      <c r="I844" t="s">
        <v>111</v>
      </c>
      <c r="J844" s="3">
        <v>45275</v>
      </c>
      <c r="K844">
        <v>2</v>
      </c>
      <c r="L844">
        <v>36</v>
      </c>
      <c r="M844" s="4">
        <v>10600</v>
      </c>
      <c r="N844" s="4">
        <v>166465</v>
      </c>
      <c r="O844" t="s">
        <v>68</v>
      </c>
      <c r="P844" t="s">
        <v>68</v>
      </c>
      <c r="Q844">
        <v>3.88</v>
      </c>
      <c r="R844">
        <v>86</v>
      </c>
      <c r="S844">
        <v>1</v>
      </c>
      <c r="T844" t="s">
        <v>69</v>
      </c>
      <c r="U844">
        <v>1</v>
      </c>
      <c r="V844">
        <v>21</v>
      </c>
      <c r="W844" t="s">
        <v>70</v>
      </c>
      <c r="X844" t="s">
        <v>69</v>
      </c>
      <c r="Y844" t="s">
        <v>71</v>
      </c>
      <c r="Z844" t="s">
        <v>61</v>
      </c>
    </row>
    <row r="845" spans="1:26" x14ac:dyDescent="0.2">
      <c r="A845" t="s">
        <v>1580</v>
      </c>
      <c r="B845" t="s">
        <v>685</v>
      </c>
      <c r="C845" t="s">
        <v>89</v>
      </c>
      <c r="D845" t="s">
        <v>239</v>
      </c>
      <c r="E845" t="s">
        <v>1312</v>
      </c>
      <c r="F845" t="s">
        <v>84</v>
      </c>
      <c r="G845" t="s">
        <v>65</v>
      </c>
      <c r="H845" t="s">
        <v>66</v>
      </c>
      <c r="I845" t="s">
        <v>115</v>
      </c>
      <c r="J845" s="3">
        <v>41912</v>
      </c>
      <c r="K845">
        <v>11.3</v>
      </c>
      <c r="L845">
        <v>55</v>
      </c>
      <c r="M845" s="4">
        <v>19900</v>
      </c>
      <c r="N845" s="4">
        <v>318235</v>
      </c>
      <c r="O845" t="s">
        <v>69</v>
      </c>
      <c r="P845" t="s">
        <v>69</v>
      </c>
      <c r="Q845">
        <v>2.37</v>
      </c>
      <c r="R845">
        <v>60</v>
      </c>
      <c r="S845">
        <v>42</v>
      </c>
      <c r="T845" t="s">
        <v>69</v>
      </c>
      <c r="U845">
        <v>8</v>
      </c>
      <c r="V845">
        <v>60</v>
      </c>
      <c r="W845" t="s">
        <v>68</v>
      </c>
      <c r="X845" t="s">
        <v>68</v>
      </c>
      <c r="Y845" t="s">
        <v>86</v>
      </c>
      <c r="Z845" t="s">
        <v>89</v>
      </c>
    </row>
    <row r="846" spans="1:26" x14ac:dyDescent="0.2">
      <c r="A846" t="s">
        <v>1581</v>
      </c>
      <c r="B846" t="s">
        <v>1052</v>
      </c>
      <c r="C846" t="s">
        <v>102</v>
      </c>
      <c r="D846" t="s">
        <v>166</v>
      </c>
      <c r="E846" t="s">
        <v>170</v>
      </c>
      <c r="F846" t="s">
        <v>77</v>
      </c>
      <c r="G846" t="s">
        <v>65</v>
      </c>
      <c r="H846" t="s">
        <v>66</v>
      </c>
      <c r="I846" t="s">
        <v>99</v>
      </c>
      <c r="J846" s="3">
        <v>43805</v>
      </c>
      <c r="K846">
        <v>6.1</v>
      </c>
      <c r="L846">
        <v>50</v>
      </c>
      <c r="M846" s="4">
        <v>9700</v>
      </c>
      <c r="N846" s="4">
        <v>154563</v>
      </c>
      <c r="O846" t="s">
        <v>69</v>
      </c>
      <c r="P846" t="s">
        <v>69</v>
      </c>
      <c r="Q846">
        <v>3.18</v>
      </c>
      <c r="R846">
        <v>66</v>
      </c>
      <c r="S846">
        <v>23</v>
      </c>
      <c r="T846" t="s">
        <v>69</v>
      </c>
      <c r="U846">
        <v>2</v>
      </c>
      <c r="V846">
        <v>45</v>
      </c>
      <c r="W846" t="s">
        <v>69</v>
      </c>
      <c r="X846" t="s">
        <v>68</v>
      </c>
      <c r="Y846" t="s">
        <v>71</v>
      </c>
      <c r="Z846" t="s">
        <v>102</v>
      </c>
    </row>
    <row r="847" spans="1:26" x14ac:dyDescent="0.2">
      <c r="A847" t="s">
        <v>1582</v>
      </c>
      <c r="B847" t="s">
        <v>1181</v>
      </c>
      <c r="C847" t="s">
        <v>143</v>
      </c>
      <c r="D847" t="s">
        <v>158</v>
      </c>
      <c r="E847" t="s">
        <v>950</v>
      </c>
      <c r="F847" t="s">
        <v>77</v>
      </c>
      <c r="G847" t="s">
        <v>65</v>
      </c>
      <c r="H847" t="s">
        <v>78</v>
      </c>
      <c r="I847" t="s">
        <v>67</v>
      </c>
      <c r="J847" s="3">
        <v>43229</v>
      </c>
      <c r="K847">
        <v>7.7</v>
      </c>
      <c r="L847">
        <v>27</v>
      </c>
      <c r="M847" s="4">
        <v>7100</v>
      </c>
      <c r="N847" s="4">
        <v>112336</v>
      </c>
      <c r="O847" t="s">
        <v>68</v>
      </c>
      <c r="P847" t="s">
        <v>69</v>
      </c>
      <c r="Q847">
        <v>2.46</v>
      </c>
      <c r="R847">
        <v>59</v>
      </c>
      <c r="S847">
        <v>0</v>
      </c>
      <c r="T847" t="s">
        <v>69</v>
      </c>
      <c r="U847">
        <v>7</v>
      </c>
      <c r="V847">
        <v>6</v>
      </c>
      <c r="W847" t="s">
        <v>70</v>
      </c>
      <c r="X847" t="s">
        <v>68</v>
      </c>
      <c r="Y847" t="s">
        <v>71</v>
      </c>
      <c r="Z847" t="s">
        <v>143</v>
      </c>
    </row>
    <row r="848" spans="1:26" x14ac:dyDescent="0.2">
      <c r="A848" t="s">
        <v>1583</v>
      </c>
      <c r="B848" t="s">
        <v>324</v>
      </c>
      <c r="C848" t="s">
        <v>12</v>
      </c>
      <c r="D848" t="s">
        <v>200</v>
      </c>
      <c r="E848" t="s">
        <v>1584</v>
      </c>
      <c r="F848" t="s">
        <v>77</v>
      </c>
      <c r="G848" t="s">
        <v>65</v>
      </c>
      <c r="H848" t="s">
        <v>66</v>
      </c>
      <c r="I848" t="s">
        <v>115</v>
      </c>
      <c r="J848" s="3">
        <v>43543</v>
      </c>
      <c r="K848">
        <v>6.8</v>
      </c>
      <c r="L848">
        <v>38</v>
      </c>
      <c r="M848" s="4">
        <v>11100</v>
      </c>
      <c r="N848" s="4">
        <v>165086</v>
      </c>
      <c r="O848" t="s">
        <v>68</v>
      </c>
      <c r="P848" t="s">
        <v>68</v>
      </c>
      <c r="Q848">
        <v>2.4500000000000002</v>
      </c>
      <c r="R848">
        <v>63</v>
      </c>
      <c r="S848">
        <v>19</v>
      </c>
      <c r="T848" t="s">
        <v>69</v>
      </c>
      <c r="U848">
        <v>9</v>
      </c>
      <c r="V848">
        <v>0</v>
      </c>
      <c r="W848" t="s">
        <v>70</v>
      </c>
      <c r="X848" t="s">
        <v>68</v>
      </c>
      <c r="Y848" t="s">
        <v>71</v>
      </c>
      <c r="Z848" t="s">
        <v>12</v>
      </c>
    </row>
    <row r="849" spans="1:26" x14ac:dyDescent="0.2">
      <c r="A849" t="s">
        <v>1585</v>
      </c>
      <c r="B849" t="s">
        <v>1586</v>
      </c>
      <c r="C849" t="s">
        <v>12</v>
      </c>
      <c r="D849" t="s">
        <v>249</v>
      </c>
      <c r="E849" t="s">
        <v>934</v>
      </c>
      <c r="F849" t="s">
        <v>120</v>
      </c>
      <c r="G849" t="s">
        <v>65</v>
      </c>
      <c r="H849" t="s">
        <v>78</v>
      </c>
      <c r="I849" t="s">
        <v>148</v>
      </c>
      <c r="J849" s="3">
        <v>41183</v>
      </c>
      <c r="K849">
        <v>13.3</v>
      </c>
      <c r="L849">
        <v>48</v>
      </c>
      <c r="M849" s="4">
        <v>9900</v>
      </c>
      <c r="N849" s="4">
        <v>154979</v>
      </c>
      <c r="O849" t="s">
        <v>68</v>
      </c>
      <c r="P849" t="s">
        <v>68</v>
      </c>
      <c r="Q849">
        <v>2.98</v>
      </c>
      <c r="R849">
        <v>80</v>
      </c>
      <c r="S849">
        <v>23</v>
      </c>
      <c r="T849" t="s">
        <v>69</v>
      </c>
      <c r="U849">
        <v>5</v>
      </c>
      <c r="V849">
        <v>5</v>
      </c>
      <c r="W849" t="s">
        <v>70</v>
      </c>
      <c r="X849" t="s">
        <v>68</v>
      </c>
      <c r="Y849" t="s">
        <v>71</v>
      </c>
      <c r="Z849" t="s">
        <v>12</v>
      </c>
    </row>
    <row r="850" spans="1:26" x14ac:dyDescent="0.2">
      <c r="A850" t="s">
        <v>1587</v>
      </c>
      <c r="B850" t="s">
        <v>497</v>
      </c>
      <c r="C850" t="s">
        <v>133</v>
      </c>
      <c r="D850" t="s">
        <v>15</v>
      </c>
      <c r="E850" t="s">
        <v>343</v>
      </c>
      <c r="F850" t="s">
        <v>120</v>
      </c>
      <c r="G850" t="s">
        <v>65</v>
      </c>
      <c r="H850" t="s">
        <v>78</v>
      </c>
      <c r="I850" t="s">
        <v>67</v>
      </c>
      <c r="J850" s="3">
        <v>45207</v>
      </c>
      <c r="K850">
        <v>2.2000000000000002</v>
      </c>
      <c r="L850">
        <v>35</v>
      </c>
      <c r="M850" s="4">
        <v>9700</v>
      </c>
      <c r="N850" s="4">
        <v>148081</v>
      </c>
      <c r="O850" t="s">
        <v>68</v>
      </c>
      <c r="P850" t="s">
        <v>68</v>
      </c>
      <c r="Q850">
        <v>3.91</v>
      </c>
      <c r="R850">
        <v>68</v>
      </c>
      <c r="S850">
        <v>24</v>
      </c>
      <c r="T850" t="s">
        <v>69</v>
      </c>
      <c r="U850">
        <v>10</v>
      </c>
      <c r="V850">
        <v>6</v>
      </c>
      <c r="W850" t="s">
        <v>70</v>
      </c>
      <c r="X850" t="s">
        <v>69</v>
      </c>
      <c r="Y850" t="s">
        <v>71</v>
      </c>
      <c r="Z850" t="s">
        <v>133</v>
      </c>
    </row>
    <row r="851" spans="1:26" x14ac:dyDescent="0.2">
      <c r="A851" t="s">
        <v>1588</v>
      </c>
      <c r="B851" t="s">
        <v>1181</v>
      </c>
      <c r="C851" t="s">
        <v>124</v>
      </c>
      <c r="D851" t="s">
        <v>391</v>
      </c>
      <c r="E851" t="s">
        <v>418</v>
      </c>
      <c r="F851" t="s">
        <v>64</v>
      </c>
      <c r="G851" t="s">
        <v>65</v>
      </c>
      <c r="H851" t="s">
        <v>78</v>
      </c>
      <c r="I851" t="s">
        <v>111</v>
      </c>
      <c r="J851" s="3">
        <v>42097</v>
      </c>
      <c r="K851">
        <v>10.8</v>
      </c>
      <c r="L851">
        <v>37</v>
      </c>
      <c r="M851" s="4">
        <v>5600</v>
      </c>
      <c r="N851" s="4">
        <v>87955</v>
      </c>
      <c r="O851" t="s">
        <v>68</v>
      </c>
      <c r="P851" t="s">
        <v>68</v>
      </c>
      <c r="Q851">
        <v>2.63</v>
      </c>
      <c r="R851">
        <v>64</v>
      </c>
      <c r="S851">
        <v>34</v>
      </c>
      <c r="T851" t="s">
        <v>69</v>
      </c>
      <c r="U851">
        <v>5</v>
      </c>
      <c r="V851">
        <v>0</v>
      </c>
      <c r="W851" t="s">
        <v>70</v>
      </c>
      <c r="X851" t="s">
        <v>68</v>
      </c>
      <c r="Y851" t="s">
        <v>71</v>
      </c>
      <c r="Z851" t="s">
        <v>124</v>
      </c>
    </row>
    <row r="852" spans="1:26" x14ac:dyDescent="0.2">
      <c r="A852" t="s">
        <v>1589</v>
      </c>
      <c r="B852" t="s">
        <v>1000</v>
      </c>
      <c r="C852" t="s">
        <v>102</v>
      </c>
      <c r="D852" t="s">
        <v>166</v>
      </c>
      <c r="E852" t="s">
        <v>167</v>
      </c>
      <c r="F852" t="s">
        <v>136</v>
      </c>
      <c r="G852" t="s">
        <v>85</v>
      </c>
      <c r="H852" t="s">
        <v>66</v>
      </c>
      <c r="I852" t="s">
        <v>105</v>
      </c>
      <c r="J852" s="3">
        <v>43692</v>
      </c>
      <c r="K852">
        <v>6.4</v>
      </c>
      <c r="L852">
        <v>35</v>
      </c>
      <c r="M852" s="4">
        <v>16200</v>
      </c>
      <c r="N852" s="4">
        <v>237824</v>
      </c>
      <c r="O852" t="s">
        <v>68</v>
      </c>
      <c r="P852" t="s">
        <v>69</v>
      </c>
      <c r="Q852">
        <v>3.08</v>
      </c>
      <c r="R852">
        <v>56</v>
      </c>
      <c r="S852">
        <v>26</v>
      </c>
      <c r="T852" t="s">
        <v>69</v>
      </c>
      <c r="U852">
        <v>2</v>
      </c>
      <c r="V852">
        <v>0</v>
      </c>
      <c r="W852" t="s">
        <v>70</v>
      </c>
      <c r="X852" t="s">
        <v>68</v>
      </c>
      <c r="Y852" t="s">
        <v>71</v>
      </c>
      <c r="Z852" t="s">
        <v>102</v>
      </c>
    </row>
    <row r="853" spans="1:26" x14ac:dyDescent="0.2">
      <c r="A853" t="s">
        <v>1590</v>
      </c>
      <c r="B853" t="s">
        <v>652</v>
      </c>
      <c r="C853" t="s">
        <v>143</v>
      </c>
      <c r="D853" t="s">
        <v>144</v>
      </c>
      <c r="E853" t="s">
        <v>1046</v>
      </c>
      <c r="F853" t="s">
        <v>120</v>
      </c>
      <c r="G853" t="s">
        <v>65</v>
      </c>
      <c r="H853" t="s">
        <v>66</v>
      </c>
      <c r="I853" t="s">
        <v>121</v>
      </c>
      <c r="J853" s="3">
        <v>42247</v>
      </c>
      <c r="K853">
        <v>10.3</v>
      </c>
      <c r="L853">
        <v>28</v>
      </c>
      <c r="M853" s="4">
        <v>7800</v>
      </c>
      <c r="N853" s="4">
        <v>116972</v>
      </c>
      <c r="O853" t="s">
        <v>68</v>
      </c>
      <c r="P853" t="s">
        <v>69</v>
      </c>
      <c r="Q853">
        <v>3.74</v>
      </c>
      <c r="R853">
        <v>64</v>
      </c>
      <c r="S853">
        <v>33</v>
      </c>
      <c r="T853" t="s">
        <v>69</v>
      </c>
      <c r="U853">
        <v>11</v>
      </c>
      <c r="V853">
        <v>0</v>
      </c>
      <c r="W853" t="s">
        <v>70</v>
      </c>
      <c r="X853" t="s">
        <v>69</v>
      </c>
      <c r="Y853" t="s">
        <v>71</v>
      </c>
      <c r="Z853" t="s">
        <v>143</v>
      </c>
    </row>
    <row r="854" spans="1:26" x14ac:dyDescent="0.2">
      <c r="A854" t="s">
        <v>1591</v>
      </c>
      <c r="B854" t="s">
        <v>1369</v>
      </c>
      <c r="C854" t="s">
        <v>74</v>
      </c>
      <c r="D854" t="s">
        <v>313</v>
      </c>
      <c r="E854" t="s">
        <v>1397</v>
      </c>
      <c r="F854" t="s">
        <v>84</v>
      </c>
      <c r="G854" t="s">
        <v>65</v>
      </c>
      <c r="H854" t="s">
        <v>66</v>
      </c>
      <c r="I854" t="s">
        <v>79</v>
      </c>
      <c r="J854" s="3">
        <v>43167</v>
      </c>
      <c r="K854">
        <v>7.8</v>
      </c>
      <c r="L854">
        <v>46</v>
      </c>
      <c r="M854" s="4">
        <v>17600</v>
      </c>
      <c r="N854" s="4">
        <v>257392</v>
      </c>
      <c r="O854" t="s">
        <v>69</v>
      </c>
      <c r="P854" t="s">
        <v>68</v>
      </c>
      <c r="Q854">
        <v>3.01</v>
      </c>
      <c r="R854">
        <v>73</v>
      </c>
      <c r="S854">
        <v>41</v>
      </c>
      <c r="T854" t="s">
        <v>69</v>
      </c>
      <c r="U854">
        <v>10</v>
      </c>
      <c r="V854">
        <v>19</v>
      </c>
      <c r="W854" t="s">
        <v>68</v>
      </c>
      <c r="X854" t="s">
        <v>68</v>
      </c>
      <c r="Y854" t="s">
        <v>71</v>
      </c>
      <c r="Z854" t="s">
        <v>74</v>
      </c>
    </row>
    <row r="855" spans="1:26" x14ac:dyDescent="0.2">
      <c r="A855" t="s">
        <v>1592</v>
      </c>
      <c r="B855" t="s">
        <v>210</v>
      </c>
      <c r="C855" t="s">
        <v>96</v>
      </c>
      <c r="D855" t="s">
        <v>97</v>
      </c>
      <c r="E855" t="s">
        <v>386</v>
      </c>
      <c r="F855" t="s">
        <v>120</v>
      </c>
      <c r="G855" t="s">
        <v>215</v>
      </c>
      <c r="H855" t="s">
        <v>78</v>
      </c>
      <c r="I855" t="s">
        <v>121</v>
      </c>
      <c r="J855" s="3">
        <v>43166</v>
      </c>
      <c r="K855">
        <v>7.8</v>
      </c>
      <c r="L855">
        <v>24</v>
      </c>
      <c r="M855" s="4">
        <v>9500</v>
      </c>
      <c r="N855" s="4">
        <v>139704</v>
      </c>
      <c r="O855" t="s">
        <v>68</v>
      </c>
      <c r="P855" t="s">
        <v>69</v>
      </c>
      <c r="Q855">
        <v>3.09</v>
      </c>
      <c r="R855">
        <v>48</v>
      </c>
      <c r="S855">
        <v>27</v>
      </c>
      <c r="T855" t="s">
        <v>69</v>
      </c>
      <c r="U855">
        <v>6</v>
      </c>
      <c r="V855">
        <v>33</v>
      </c>
      <c r="W855" t="s">
        <v>70</v>
      </c>
      <c r="X855" t="s">
        <v>68</v>
      </c>
      <c r="Y855" t="s">
        <v>86</v>
      </c>
      <c r="Z855" t="s">
        <v>96</v>
      </c>
    </row>
    <row r="856" spans="1:26" x14ac:dyDescent="0.2">
      <c r="A856" t="s">
        <v>1593</v>
      </c>
      <c r="B856" t="s">
        <v>1247</v>
      </c>
      <c r="C856" t="s">
        <v>133</v>
      </c>
      <c r="D856" t="s">
        <v>134</v>
      </c>
      <c r="E856" t="s">
        <v>135</v>
      </c>
      <c r="F856" t="s">
        <v>136</v>
      </c>
      <c r="G856" t="s">
        <v>65</v>
      </c>
      <c r="H856" t="s">
        <v>66</v>
      </c>
      <c r="I856" t="s">
        <v>67</v>
      </c>
      <c r="J856" s="3">
        <v>44476</v>
      </c>
      <c r="K856">
        <v>4.2</v>
      </c>
      <c r="L856">
        <v>25</v>
      </c>
      <c r="M856" s="4">
        <v>12600</v>
      </c>
      <c r="N856" s="4">
        <v>183644</v>
      </c>
      <c r="O856" t="s">
        <v>69</v>
      </c>
      <c r="P856" t="s">
        <v>68</v>
      </c>
      <c r="Q856">
        <v>2.75</v>
      </c>
      <c r="R856">
        <v>70</v>
      </c>
      <c r="S856">
        <v>19</v>
      </c>
      <c r="T856" t="s">
        <v>69</v>
      </c>
      <c r="U856">
        <v>2</v>
      </c>
      <c r="V856">
        <v>0</v>
      </c>
      <c r="W856" t="s">
        <v>68</v>
      </c>
      <c r="X856" t="s">
        <v>68</v>
      </c>
      <c r="Y856" t="s">
        <v>71</v>
      </c>
      <c r="Z856" t="s">
        <v>133</v>
      </c>
    </row>
    <row r="857" spans="1:26" x14ac:dyDescent="0.2">
      <c r="A857" t="s">
        <v>1594</v>
      </c>
      <c r="B857" t="s">
        <v>1075</v>
      </c>
      <c r="C857" t="s">
        <v>89</v>
      </c>
      <c r="D857" t="s">
        <v>239</v>
      </c>
      <c r="E857" t="s">
        <v>1312</v>
      </c>
      <c r="F857" t="s">
        <v>84</v>
      </c>
      <c r="G857" t="s">
        <v>65</v>
      </c>
      <c r="H857" t="s">
        <v>66</v>
      </c>
      <c r="I857" t="s">
        <v>67</v>
      </c>
      <c r="J857" s="3">
        <v>44139</v>
      </c>
      <c r="K857">
        <v>5.2</v>
      </c>
      <c r="L857">
        <v>25</v>
      </c>
      <c r="M857" s="4">
        <v>14600</v>
      </c>
      <c r="N857" s="4">
        <v>213675</v>
      </c>
      <c r="O857" t="s">
        <v>69</v>
      </c>
      <c r="P857" t="s">
        <v>69</v>
      </c>
      <c r="Q857">
        <v>3.7</v>
      </c>
      <c r="R857">
        <v>74</v>
      </c>
      <c r="S857">
        <v>39</v>
      </c>
      <c r="T857" t="s">
        <v>68</v>
      </c>
      <c r="U857">
        <v>13</v>
      </c>
      <c r="V857">
        <v>53</v>
      </c>
      <c r="W857" t="s">
        <v>68</v>
      </c>
      <c r="X857" t="s">
        <v>69</v>
      </c>
      <c r="Y857" t="s">
        <v>71</v>
      </c>
      <c r="Z857" t="s">
        <v>89</v>
      </c>
    </row>
    <row r="858" spans="1:26" x14ac:dyDescent="0.2">
      <c r="A858" t="s">
        <v>1595</v>
      </c>
      <c r="B858" t="s">
        <v>1596</v>
      </c>
      <c r="C858" t="s">
        <v>89</v>
      </c>
      <c r="D858" t="s">
        <v>230</v>
      </c>
      <c r="E858" t="s">
        <v>586</v>
      </c>
      <c r="F858" t="s">
        <v>92</v>
      </c>
      <c r="G858" t="s">
        <v>65</v>
      </c>
      <c r="H858" t="s">
        <v>66</v>
      </c>
      <c r="I858" t="s">
        <v>99</v>
      </c>
      <c r="J858" s="3">
        <v>44910</v>
      </c>
      <c r="K858">
        <v>3</v>
      </c>
      <c r="L858">
        <v>22</v>
      </c>
      <c r="M858" s="4">
        <v>4500</v>
      </c>
      <c r="N858" s="4">
        <v>69992</v>
      </c>
      <c r="O858" t="s">
        <v>68</v>
      </c>
      <c r="P858" t="s">
        <v>69</v>
      </c>
      <c r="Q858">
        <v>2.95</v>
      </c>
      <c r="R858">
        <v>48</v>
      </c>
      <c r="S858">
        <v>33</v>
      </c>
      <c r="T858" t="s">
        <v>69</v>
      </c>
      <c r="U858">
        <v>12</v>
      </c>
      <c r="V858">
        <v>27</v>
      </c>
      <c r="W858" t="s">
        <v>70</v>
      </c>
      <c r="X858" t="s">
        <v>68</v>
      </c>
      <c r="Y858" t="s">
        <v>86</v>
      </c>
      <c r="Z858" t="s">
        <v>89</v>
      </c>
    </row>
    <row r="859" spans="1:26" x14ac:dyDescent="0.2">
      <c r="A859" t="s">
        <v>1597</v>
      </c>
      <c r="B859" t="s">
        <v>1598</v>
      </c>
      <c r="C859" t="s">
        <v>108</v>
      </c>
      <c r="D859" t="s">
        <v>194</v>
      </c>
      <c r="E859" t="s">
        <v>296</v>
      </c>
      <c r="F859" t="s">
        <v>120</v>
      </c>
      <c r="G859" t="s">
        <v>65</v>
      </c>
      <c r="H859" t="s">
        <v>78</v>
      </c>
      <c r="I859" t="s">
        <v>115</v>
      </c>
      <c r="J859" s="3">
        <v>44542</v>
      </c>
      <c r="K859">
        <v>4.0999999999999996</v>
      </c>
      <c r="L859">
        <v>57</v>
      </c>
      <c r="M859" s="4">
        <v>11100</v>
      </c>
      <c r="N859" s="4">
        <v>179786</v>
      </c>
      <c r="O859" t="s">
        <v>68</v>
      </c>
      <c r="P859" t="s">
        <v>69</v>
      </c>
      <c r="Q859">
        <v>2.31</v>
      </c>
      <c r="R859">
        <v>70</v>
      </c>
      <c r="S859">
        <v>28</v>
      </c>
      <c r="T859" t="s">
        <v>69</v>
      </c>
      <c r="U859">
        <v>5</v>
      </c>
      <c r="V859">
        <v>27</v>
      </c>
      <c r="W859" t="s">
        <v>70</v>
      </c>
      <c r="X859" t="s">
        <v>68</v>
      </c>
      <c r="Y859" t="s">
        <v>71</v>
      </c>
      <c r="Z859" t="s">
        <v>108</v>
      </c>
    </row>
    <row r="860" spans="1:26" x14ac:dyDescent="0.2">
      <c r="A860" t="s">
        <v>1599</v>
      </c>
      <c r="B860" t="s">
        <v>281</v>
      </c>
      <c r="C860" t="s">
        <v>124</v>
      </c>
      <c r="D860" t="s">
        <v>125</v>
      </c>
      <c r="E860" t="s">
        <v>712</v>
      </c>
      <c r="F860" t="s">
        <v>136</v>
      </c>
      <c r="G860" t="s">
        <v>85</v>
      </c>
      <c r="H860" t="s">
        <v>78</v>
      </c>
      <c r="I860" t="s">
        <v>236</v>
      </c>
      <c r="J860" s="3">
        <v>41920</v>
      </c>
      <c r="K860">
        <v>11.2</v>
      </c>
      <c r="L860">
        <v>28</v>
      </c>
      <c r="M860" s="4">
        <v>14200</v>
      </c>
      <c r="N860" s="4">
        <v>220091</v>
      </c>
      <c r="O860" t="s">
        <v>68</v>
      </c>
      <c r="P860" t="s">
        <v>69</v>
      </c>
      <c r="Q860">
        <v>3.24</v>
      </c>
      <c r="R860">
        <v>67</v>
      </c>
      <c r="S860">
        <v>29</v>
      </c>
      <c r="T860" t="s">
        <v>69</v>
      </c>
      <c r="U860">
        <v>13</v>
      </c>
      <c r="V860">
        <v>16</v>
      </c>
      <c r="W860" t="s">
        <v>70</v>
      </c>
      <c r="X860" t="s">
        <v>68</v>
      </c>
      <c r="Y860" t="s">
        <v>71</v>
      </c>
      <c r="Z860" t="s">
        <v>124</v>
      </c>
    </row>
    <row r="861" spans="1:26" x14ac:dyDescent="0.2">
      <c r="A861" t="s">
        <v>1600</v>
      </c>
      <c r="B861" t="s">
        <v>1601</v>
      </c>
      <c r="C861" t="s">
        <v>61</v>
      </c>
      <c r="D861" t="s">
        <v>218</v>
      </c>
      <c r="E861" t="s">
        <v>361</v>
      </c>
      <c r="F861" t="s">
        <v>92</v>
      </c>
      <c r="G861" t="s">
        <v>65</v>
      </c>
      <c r="H861" t="s">
        <v>78</v>
      </c>
      <c r="I861" t="s">
        <v>148</v>
      </c>
      <c r="J861" s="3">
        <v>45134</v>
      </c>
      <c r="K861">
        <v>2.4</v>
      </c>
      <c r="L861">
        <v>26</v>
      </c>
      <c r="M861" s="4">
        <v>3900</v>
      </c>
      <c r="N861" s="4">
        <v>55511</v>
      </c>
      <c r="O861" t="s">
        <v>68</v>
      </c>
      <c r="P861" t="s">
        <v>68</v>
      </c>
      <c r="Q861">
        <v>2.96</v>
      </c>
      <c r="R861">
        <v>67</v>
      </c>
      <c r="S861">
        <v>21</v>
      </c>
      <c r="T861" t="s">
        <v>69</v>
      </c>
      <c r="U861">
        <v>10</v>
      </c>
      <c r="V861">
        <v>31</v>
      </c>
      <c r="W861" t="s">
        <v>70</v>
      </c>
      <c r="X861" t="s">
        <v>68</v>
      </c>
      <c r="Y861" t="s">
        <v>86</v>
      </c>
      <c r="Z861" t="s">
        <v>61</v>
      </c>
    </row>
    <row r="862" spans="1:26" x14ac:dyDescent="0.2">
      <c r="A862" t="s">
        <v>1602</v>
      </c>
      <c r="B862" t="s">
        <v>210</v>
      </c>
      <c r="C862" t="s">
        <v>12</v>
      </c>
      <c r="D862" t="s">
        <v>82</v>
      </c>
      <c r="E862" t="s">
        <v>982</v>
      </c>
      <c r="F862" t="s">
        <v>120</v>
      </c>
      <c r="G862" t="s">
        <v>65</v>
      </c>
      <c r="H862" t="s">
        <v>78</v>
      </c>
      <c r="I862" t="s">
        <v>148</v>
      </c>
      <c r="J862" s="3">
        <v>45353</v>
      </c>
      <c r="K862">
        <v>1.8</v>
      </c>
      <c r="L862">
        <v>40</v>
      </c>
      <c r="M862" s="4">
        <v>8900</v>
      </c>
      <c r="N862" s="4">
        <v>127546</v>
      </c>
      <c r="O862" t="s">
        <v>68</v>
      </c>
      <c r="P862" t="s">
        <v>69</v>
      </c>
      <c r="Q862">
        <v>2.95</v>
      </c>
      <c r="R862">
        <v>60</v>
      </c>
      <c r="S862">
        <v>22</v>
      </c>
      <c r="T862" t="s">
        <v>69</v>
      </c>
      <c r="U862">
        <v>2</v>
      </c>
      <c r="V862">
        <v>15</v>
      </c>
      <c r="W862" t="s">
        <v>70</v>
      </c>
      <c r="X862" t="s">
        <v>68</v>
      </c>
      <c r="Y862" t="s">
        <v>71</v>
      </c>
      <c r="Z862" t="s">
        <v>12</v>
      </c>
    </row>
    <row r="863" spans="1:26" x14ac:dyDescent="0.2">
      <c r="A863" t="s">
        <v>1603</v>
      </c>
      <c r="B863" t="s">
        <v>217</v>
      </c>
      <c r="C863" t="s">
        <v>96</v>
      </c>
      <c r="D863" t="s">
        <v>234</v>
      </c>
      <c r="E863" t="s">
        <v>591</v>
      </c>
      <c r="F863" t="s">
        <v>64</v>
      </c>
      <c r="G863" t="s">
        <v>85</v>
      </c>
      <c r="H863" t="s">
        <v>78</v>
      </c>
      <c r="I863" t="s">
        <v>67</v>
      </c>
      <c r="J863" s="3">
        <v>42215</v>
      </c>
      <c r="K863">
        <v>10.4</v>
      </c>
      <c r="L863">
        <v>60</v>
      </c>
      <c r="M863" s="4">
        <v>5600</v>
      </c>
      <c r="N863" s="4">
        <v>91058</v>
      </c>
      <c r="O863" t="s">
        <v>68</v>
      </c>
      <c r="P863" t="s">
        <v>69</v>
      </c>
      <c r="Q863">
        <v>3.58</v>
      </c>
      <c r="R863">
        <v>60</v>
      </c>
      <c r="S863">
        <v>30</v>
      </c>
      <c r="T863" t="s">
        <v>69</v>
      </c>
      <c r="U863">
        <v>1</v>
      </c>
      <c r="V863">
        <v>28</v>
      </c>
      <c r="W863" t="s">
        <v>70</v>
      </c>
      <c r="X863" t="s">
        <v>69</v>
      </c>
      <c r="Y863" t="s">
        <v>86</v>
      </c>
      <c r="Z863" t="s">
        <v>96</v>
      </c>
    </row>
    <row r="864" spans="1:26" x14ac:dyDescent="0.2">
      <c r="A864" t="s">
        <v>1604</v>
      </c>
      <c r="B864" t="s">
        <v>88</v>
      </c>
      <c r="C864" t="s">
        <v>108</v>
      </c>
      <c r="D864" t="s">
        <v>194</v>
      </c>
      <c r="E864" t="s">
        <v>195</v>
      </c>
      <c r="F864" t="s">
        <v>64</v>
      </c>
      <c r="G864" t="s">
        <v>65</v>
      </c>
      <c r="H864" t="s">
        <v>78</v>
      </c>
      <c r="I864" t="s">
        <v>148</v>
      </c>
      <c r="J864" s="3">
        <v>41012</v>
      </c>
      <c r="K864">
        <v>13.7</v>
      </c>
      <c r="L864">
        <v>35</v>
      </c>
      <c r="M864" s="4">
        <v>6500</v>
      </c>
      <c r="N864" s="4">
        <v>106613</v>
      </c>
      <c r="O864" t="s">
        <v>68</v>
      </c>
      <c r="P864" t="s">
        <v>69</v>
      </c>
      <c r="Q864">
        <v>3.13</v>
      </c>
      <c r="R864">
        <v>54</v>
      </c>
      <c r="S864">
        <v>19</v>
      </c>
      <c r="T864" t="s">
        <v>69</v>
      </c>
      <c r="U864">
        <v>6</v>
      </c>
      <c r="V864">
        <v>27</v>
      </c>
      <c r="W864" t="s">
        <v>70</v>
      </c>
      <c r="X864" t="s">
        <v>68</v>
      </c>
      <c r="Y864" t="s">
        <v>86</v>
      </c>
      <c r="Z864" t="s">
        <v>108</v>
      </c>
    </row>
    <row r="865" spans="1:26" x14ac:dyDescent="0.2">
      <c r="A865" t="s">
        <v>1605</v>
      </c>
      <c r="B865" t="s">
        <v>613</v>
      </c>
      <c r="C865" t="s">
        <v>143</v>
      </c>
      <c r="D865" t="s">
        <v>207</v>
      </c>
      <c r="E865" t="s">
        <v>208</v>
      </c>
      <c r="F865" t="s">
        <v>64</v>
      </c>
      <c r="G865" t="s">
        <v>65</v>
      </c>
      <c r="H865" t="s">
        <v>66</v>
      </c>
      <c r="I865" t="s">
        <v>67</v>
      </c>
      <c r="J865" s="3">
        <v>44337</v>
      </c>
      <c r="K865">
        <v>4.5999999999999996</v>
      </c>
      <c r="L865">
        <v>22</v>
      </c>
      <c r="M865" s="4">
        <v>6100</v>
      </c>
      <c r="N865" s="4">
        <v>87300</v>
      </c>
      <c r="O865" t="s">
        <v>68</v>
      </c>
      <c r="P865" t="s">
        <v>69</v>
      </c>
      <c r="Q865">
        <v>3.37</v>
      </c>
      <c r="R865">
        <v>69</v>
      </c>
      <c r="S865">
        <v>46</v>
      </c>
      <c r="T865" t="s">
        <v>69</v>
      </c>
      <c r="U865">
        <v>9</v>
      </c>
      <c r="V865">
        <v>31</v>
      </c>
      <c r="W865" t="s">
        <v>70</v>
      </c>
      <c r="X865" t="s">
        <v>68</v>
      </c>
      <c r="Y865" t="s">
        <v>71</v>
      </c>
      <c r="Z865" t="s">
        <v>143</v>
      </c>
    </row>
    <row r="866" spans="1:26" x14ac:dyDescent="0.2">
      <c r="A866" t="s">
        <v>1606</v>
      </c>
      <c r="B866" t="s">
        <v>1607</v>
      </c>
      <c r="C866" t="s">
        <v>74</v>
      </c>
      <c r="D866" t="s">
        <v>313</v>
      </c>
      <c r="E866" t="s">
        <v>526</v>
      </c>
      <c r="F866" t="s">
        <v>136</v>
      </c>
      <c r="G866" t="s">
        <v>65</v>
      </c>
      <c r="H866" t="s">
        <v>66</v>
      </c>
      <c r="I866" t="s">
        <v>67</v>
      </c>
      <c r="J866" s="3">
        <v>43324</v>
      </c>
      <c r="K866">
        <v>7.4</v>
      </c>
      <c r="L866">
        <v>57</v>
      </c>
      <c r="M866" s="4">
        <v>17400</v>
      </c>
      <c r="N866" s="4">
        <v>264701</v>
      </c>
      <c r="O866" t="s">
        <v>68</v>
      </c>
      <c r="P866" t="s">
        <v>68</v>
      </c>
      <c r="Q866">
        <v>1.92</v>
      </c>
      <c r="R866">
        <v>52</v>
      </c>
      <c r="S866">
        <v>24</v>
      </c>
      <c r="T866" t="s">
        <v>69</v>
      </c>
      <c r="U866">
        <v>11</v>
      </c>
      <c r="V866">
        <v>10</v>
      </c>
      <c r="W866" t="s">
        <v>70</v>
      </c>
      <c r="X866" t="s">
        <v>68</v>
      </c>
      <c r="Y866" t="s">
        <v>71</v>
      </c>
      <c r="Z866" t="s">
        <v>74</v>
      </c>
    </row>
    <row r="867" spans="1:26" x14ac:dyDescent="0.2">
      <c r="A867" t="s">
        <v>1608</v>
      </c>
      <c r="B867" t="s">
        <v>327</v>
      </c>
      <c r="C867" t="s">
        <v>143</v>
      </c>
      <c r="D867" t="s">
        <v>552</v>
      </c>
      <c r="E867" t="s">
        <v>1609</v>
      </c>
      <c r="F867" t="s">
        <v>136</v>
      </c>
      <c r="G867" t="s">
        <v>65</v>
      </c>
      <c r="H867" t="s">
        <v>78</v>
      </c>
      <c r="I867" t="s">
        <v>67</v>
      </c>
      <c r="J867" s="3">
        <v>42463</v>
      </c>
      <c r="K867">
        <v>9.8000000000000007</v>
      </c>
      <c r="L867">
        <v>41</v>
      </c>
      <c r="M867" s="4">
        <v>10500</v>
      </c>
      <c r="N867" s="4">
        <v>149215</v>
      </c>
      <c r="O867" t="s">
        <v>68</v>
      </c>
      <c r="P867" t="s">
        <v>69</v>
      </c>
      <c r="Q867">
        <v>2.94</v>
      </c>
      <c r="R867">
        <v>49</v>
      </c>
      <c r="S867">
        <v>18</v>
      </c>
      <c r="T867" t="s">
        <v>69</v>
      </c>
      <c r="U867">
        <v>6</v>
      </c>
      <c r="V867">
        <v>16</v>
      </c>
      <c r="W867" t="s">
        <v>70</v>
      </c>
      <c r="X867" t="s">
        <v>68</v>
      </c>
      <c r="Y867" t="s">
        <v>86</v>
      </c>
      <c r="Z867" t="s">
        <v>143</v>
      </c>
    </row>
    <row r="868" spans="1:26" x14ac:dyDescent="0.2">
      <c r="A868" t="s">
        <v>1610</v>
      </c>
      <c r="B868" t="s">
        <v>380</v>
      </c>
      <c r="C868" t="s">
        <v>61</v>
      </c>
      <c r="D868" t="s">
        <v>62</v>
      </c>
      <c r="E868" t="s">
        <v>447</v>
      </c>
      <c r="F868" t="s">
        <v>136</v>
      </c>
      <c r="G868" t="s">
        <v>85</v>
      </c>
      <c r="H868" t="s">
        <v>66</v>
      </c>
      <c r="I868" t="s">
        <v>111</v>
      </c>
      <c r="J868" s="3">
        <v>44199</v>
      </c>
      <c r="K868">
        <v>5</v>
      </c>
      <c r="L868">
        <v>26</v>
      </c>
      <c r="M868" s="4">
        <v>14300</v>
      </c>
      <c r="N868" s="4">
        <v>232603</v>
      </c>
      <c r="O868" t="s">
        <v>68</v>
      </c>
      <c r="P868" t="s">
        <v>68</v>
      </c>
      <c r="Q868">
        <v>2.38</v>
      </c>
      <c r="R868">
        <v>58</v>
      </c>
      <c r="S868">
        <v>21</v>
      </c>
      <c r="T868" t="s">
        <v>69</v>
      </c>
      <c r="U868">
        <v>0</v>
      </c>
      <c r="V868">
        <v>20</v>
      </c>
      <c r="W868" t="s">
        <v>70</v>
      </c>
      <c r="X868" t="s">
        <v>68</v>
      </c>
      <c r="Y868" t="s">
        <v>71</v>
      </c>
      <c r="Z868" t="s">
        <v>61</v>
      </c>
    </row>
    <row r="869" spans="1:26" x14ac:dyDescent="0.2">
      <c r="A869" t="s">
        <v>1611</v>
      </c>
      <c r="B869" t="s">
        <v>1612</v>
      </c>
      <c r="C869" t="s">
        <v>89</v>
      </c>
      <c r="D869" t="s">
        <v>154</v>
      </c>
      <c r="E869" t="s">
        <v>887</v>
      </c>
      <c r="F869" t="s">
        <v>84</v>
      </c>
      <c r="G869" t="s">
        <v>65</v>
      </c>
      <c r="H869" t="s">
        <v>78</v>
      </c>
      <c r="I869" t="s">
        <v>148</v>
      </c>
      <c r="J869" s="3">
        <v>44842</v>
      </c>
      <c r="K869">
        <v>3.2</v>
      </c>
      <c r="L869">
        <v>55</v>
      </c>
      <c r="M869" s="4">
        <v>17600</v>
      </c>
      <c r="N869" s="4">
        <v>254995</v>
      </c>
      <c r="O869" t="s">
        <v>69</v>
      </c>
      <c r="P869" t="s">
        <v>69</v>
      </c>
      <c r="Q869">
        <v>4</v>
      </c>
      <c r="R869">
        <v>84</v>
      </c>
      <c r="S869">
        <v>67</v>
      </c>
      <c r="T869" t="s">
        <v>69</v>
      </c>
      <c r="U869">
        <v>9</v>
      </c>
      <c r="V869">
        <v>41</v>
      </c>
      <c r="W869" t="s">
        <v>68</v>
      </c>
      <c r="X869" t="s">
        <v>69</v>
      </c>
      <c r="Y869" t="s">
        <v>71</v>
      </c>
      <c r="Z869" t="s">
        <v>89</v>
      </c>
    </row>
    <row r="870" spans="1:26" x14ac:dyDescent="0.2">
      <c r="A870" t="s">
        <v>1613</v>
      </c>
      <c r="B870" t="s">
        <v>1614</v>
      </c>
      <c r="C870" t="s">
        <v>89</v>
      </c>
      <c r="D870" t="s">
        <v>154</v>
      </c>
      <c r="E870" t="s">
        <v>887</v>
      </c>
      <c r="F870" t="s">
        <v>84</v>
      </c>
      <c r="G870" t="s">
        <v>65</v>
      </c>
      <c r="H870" t="s">
        <v>66</v>
      </c>
      <c r="I870" t="s">
        <v>148</v>
      </c>
      <c r="J870" s="3">
        <v>42537</v>
      </c>
      <c r="K870">
        <v>9.6</v>
      </c>
      <c r="L870">
        <v>45</v>
      </c>
      <c r="M870" s="4">
        <v>18200</v>
      </c>
      <c r="N870" s="4">
        <v>262806</v>
      </c>
      <c r="O870" t="s">
        <v>69</v>
      </c>
      <c r="P870" t="s">
        <v>69</v>
      </c>
      <c r="Q870">
        <v>3.54</v>
      </c>
      <c r="R870">
        <v>50</v>
      </c>
      <c r="S870">
        <v>60</v>
      </c>
      <c r="T870" t="s">
        <v>69</v>
      </c>
      <c r="U870">
        <v>2</v>
      </c>
      <c r="V870">
        <v>34</v>
      </c>
      <c r="W870" t="s">
        <v>68</v>
      </c>
      <c r="X870" t="s">
        <v>69</v>
      </c>
      <c r="Y870" t="s">
        <v>86</v>
      </c>
      <c r="Z870" t="s">
        <v>89</v>
      </c>
    </row>
    <row r="871" spans="1:26" x14ac:dyDescent="0.2">
      <c r="A871" t="s">
        <v>1615</v>
      </c>
      <c r="B871" t="s">
        <v>335</v>
      </c>
      <c r="C871" t="s">
        <v>96</v>
      </c>
      <c r="D871" t="s">
        <v>162</v>
      </c>
      <c r="E871" t="s">
        <v>498</v>
      </c>
      <c r="F871" t="s">
        <v>92</v>
      </c>
      <c r="G871" t="s">
        <v>65</v>
      </c>
      <c r="H871" t="s">
        <v>78</v>
      </c>
      <c r="I871" t="s">
        <v>99</v>
      </c>
      <c r="J871" s="3">
        <v>41009</v>
      </c>
      <c r="K871">
        <v>13.7</v>
      </c>
      <c r="L871">
        <v>53</v>
      </c>
      <c r="M871" s="4">
        <v>4500</v>
      </c>
      <c r="N871" s="4">
        <v>64286</v>
      </c>
      <c r="O871" t="s">
        <v>69</v>
      </c>
      <c r="P871" t="s">
        <v>69</v>
      </c>
      <c r="Q871">
        <v>2.34</v>
      </c>
      <c r="R871">
        <v>49</v>
      </c>
      <c r="S871">
        <v>4</v>
      </c>
      <c r="T871" t="s">
        <v>69</v>
      </c>
      <c r="U871">
        <v>1</v>
      </c>
      <c r="V871">
        <v>19</v>
      </c>
      <c r="W871" t="s">
        <v>69</v>
      </c>
      <c r="X871" t="s">
        <v>68</v>
      </c>
      <c r="Y871" t="s">
        <v>86</v>
      </c>
      <c r="Z871" t="s">
        <v>96</v>
      </c>
    </row>
    <row r="872" spans="1:26" x14ac:dyDescent="0.2">
      <c r="A872" t="s">
        <v>1616</v>
      </c>
      <c r="B872" t="s">
        <v>128</v>
      </c>
      <c r="C872" t="s">
        <v>89</v>
      </c>
      <c r="D872" t="s">
        <v>90</v>
      </c>
      <c r="E872" t="s">
        <v>348</v>
      </c>
      <c r="F872" t="s">
        <v>77</v>
      </c>
      <c r="G872" t="s">
        <v>65</v>
      </c>
      <c r="H872" t="s">
        <v>66</v>
      </c>
      <c r="I872" t="s">
        <v>99</v>
      </c>
      <c r="J872" s="3">
        <v>43020</v>
      </c>
      <c r="K872">
        <v>8.1999999999999993</v>
      </c>
      <c r="L872">
        <v>45</v>
      </c>
      <c r="M872" s="4">
        <v>12800</v>
      </c>
      <c r="N872" s="4">
        <v>183326</v>
      </c>
      <c r="O872" t="s">
        <v>68</v>
      </c>
      <c r="P872" t="s">
        <v>69</v>
      </c>
      <c r="Q872">
        <v>2.98</v>
      </c>
      <c r="R872">
        <v>63</v>
      </c>
      <c r="S872">
        <v>56</v>
      </c>
      <c r="T872" t="s">
        <v>69</v>
      </c>
      <c r="U872">
        <v>0</v>
      </c>
      <c r="V872">
        <v>62</v>
      </c>
      <c r="W872" t="s">
        <v>70</v>
      </c>
      <c r="X872" t="s">
        <v>68</v>
      </c>
      <c r="Y872" t="s">
        <v>86</v>
      </c>
      <c r="Z872" t="s">
        <v>89</v>
      </c>
    </row>
    <row r="873" spans="1:26" x14ac:dyDescent="0.2">
      <c r="A873" t="s">
        <v>1617</v>
      </c>
      <c r="B873" t="s">
        <v>1043</v>
      </c>
      <c r="C873" t="s">
        <v>96</v>
      </c>
      <c r="D873" t="s">
        <v>162</v>
      </c>
      <c r="E873" t="s">
        <v>163</v>
      </c>
      <c r="F873" t="s">
        <v>136</v>
      </c>
      <c r="G873" t="s">
        <v>65</v>
      </c>
      <c r="H873" t="s">
        <v>66</v>
      </c>
      <c r="I873" t="s">
        <v>148</v>
      </c>
      <c r="J873" s="3">
        <v>44994</v>
      </c>
      <c r="K873">
        <v>2.8</v>
      </c>
      <c r="L873">
        <v>54</v>
      </c>
      <c r="M873" s="4">
        <v>14000</v>
      </c>
      <c r="N873" s="4">
        <v>208838</v>
      </c>
      <c r="O873" t="s">
        <v>68</v>
      </c>
      <c r="P873" t="s">
        <v>69</v>
      </c>
      <c r="Q873">
        <v>2.21</v>
      </c>
      <c r="R873">
        <v>53</v>
      </c>
      <c r="S873">
        <v>27</v>
      </c>
      <c r="T873" t="s">
        <v>69</v>
      </c>
      <c r="U873">
        <v>0</v>
      </c>
      <c r="V873">
        <v>45</v>
      </c>
      <c r="W873" t="s">
        <v>70</v>
      </c>
      <c r="X873" t="s">
        <v>68</v>
      </c>
      <c r="Y873" t="s">
        <v>86</v>
      </c>
      <c r="Z873" t="s">
        <v>96</v>
      </c>
    </row>
    <row r="874" spans="1:26" x14ac:dyDescent="0.2">
      <c r="A874" t="s">
        <v>1618</v>
      </c>
      <c r="B874" t="s">
        <v>743</v>
      </c>
      <c r="C874" t="s">
        <v>61</v>
      </c>
      <c r="D874" t="s">
        <v>177</v>
      </c>
      <c r="E874" t="s">
        <v>639</v>
      </c>
      <c r="F874" t="s">
        <v>120</v>
      </c>
      <c r="G874" t="s">
        <v>65</v>
      </c>
      <c r="H874" t="s">
        <v>78</v>
      </c>
      <c r="I874" t="s">
        <v>105</v>
      </c>
      <c r="J874" s="3">
        <v>43999</v>
      </c>
      <c r="K874">
        <v>5.5</v>
      </c>
      <c r="L874">
        <v>60</v>
      </c>
      <c r="M874" s="4">
        <v>8400</v>
      </c>
      <c r="N874" s="4">
        <v>131480</v>
      </c>
      <c r="O874" t="s">
        <v>68</v>
      </c>
      <c r="P874" t="s">
        <v>68</v>
      </c>
      <c r="Q874">
        <v>3.08</v>
      </c>
      <c r="R874">
        <v>63</v>
      </c>
      <c r="S874">
        <v>57</v>
      </c>
      <c r="T874" t="s">
        <v>68</v>
      </c>
      <c r="U874">
        <v>10</v>
      </c>
      <c r="V874">
        <v>36</v>
      </c>
      <c r="W874" t="s">
        <v>70</v>
      </c>
      <c r="X874" t="s">
        <v>68</v>
      </c>
      <c r="Y874" t="s">
        <v>71</v>
      </c>
      <c r="Z874" t="s">
        <v>61</v>
      </c>
    </row>
    <row r="875" spans="1:26" x14ac:dyDescent="0.2">
      <c r="A875" t="s">
        <v>1619</v>
      </c>
      <c r="B875" t="s">
        <v>260</v>
      </c>
      <c r="C875" t="s">
        <v>108</v>
      </c>
      <c r="D875" t="s">
        <v>222</v>
      </c>
      <c r="E875" t="s">
        <v>693</v>
      </c>
      <c r="F875" t="s">
        <v>64</v>
      </c>
      <c r="G875" t="s">
        <v>65</v>
      </c>
      <c r="H875" t="s">
        <v>78</v>
      </c>
      <c r="I875" t="s">
        <v>115</v>
      </c>
      <c r="J875" s="3">
        <v>43461</v>
      </c>
      <c r="K875">
        <v>7</v>
      </c>
      <c r="L875">
        <v>24</v>
      </c>
      <c r="M875" s="4">
        <v>8200</v>
      </c>
      <c r="N875" s="4">
        <v>120842</v>
      </c>
      <c r="O875" t="s">
        <v>68</v>
      </c>
      <c r="P875" t="s">
        <v>69</v>
      </c>
      <c r="Q875">
        <v>3.12</v>
      </c>
      <c r="R875">
        <v>48</v>
      </c>
      <c r="S875">
        <v>38</v>
      </c>
      <c r="T875" t="s">
        <v>69</v>
      </c>
      <c r="U875">
        <v>9</v>
      </c>
      <c r="V875">
        <v>20</v>
      </c>
      <c r="W875" t="s">
        <v>70</v>
      </c>
      <c r="X875" t="s">
        <v>68</v>
      </c>
      <c r="Y875" t="s">
        <v>86</v>
      </c>
      <c r="Z875" t="s">
        <v>108</v>
      </c>
    </row>
    <row r="876" spans="1:26" x14ac:dyDescent="0.2">
      <c r="A876" t="s">
        <v>1620</v>
      </c>
      <c r="B876" t="s">
        <v>312</v>
      </c>
      <c r="C876" t="s">
        <v>61</v>
      </c>
      <c r="D876" t="s">
        <v>177</v>
      </c>
      <c r="E876" t="s">
        <v>1127</v>
      </c>
      <c r="F876" t="s">
        <v>84</v>
      </c>
      <c r="G876" t="s">
        <v>65</v>
      </c>
      <c r="H876" t="s">
        <v>78</v>
      </c>
      <c r="I876" t="s">
        <v>93</v>
      </c>
      <c r="J876" s="3">
        <v>44842</v>
      </c>
      <c r="K876">
        <v>3.2</v>
      </c>
      <c r="L876">
        <v>60</v>
      </c>
      <c r="M876" s="4">
        <v>16500</v>
      </c>
      <c r="N876" s="4">
        <v>239260</v>
      </c>
      <c r="O876" t="s">
        <v>69</v>
      </c>
      <c r="P876" t="s">
        <v>68</v>
      </c>
      <c r="Q876">
        <v>3.05</v>
      </c>
      <c r="R876">
        <v>55</v>
      </c>
      <c r="S876">
        <v>30</v>
      </c>
      <c r="T876" t="s">
        <v>69</v>
      </c>
      <c r="U876">
        <v>4</v>
      </c>
      <c r="V876">
        <v>9</v>
      </c>
      <c r="W876" t="s">
        <v>68</v>
      </c>
      <c r="X876" t="s">
        <v>68</v>
      </c>
      <c r="Y876" t="s">
        <v>71</v>
      </c>
      <c r="Z876" t="s">
        <v>61</v>
      </c>
    </row>
    <row r="877" spans="1:26" x14ac:dyDescent="0.2">
      <c r="A877" t="s">
        <v>1621</v>
      </c>
      <c r="B877" t="s">
        <v>436</v>
      </c>
      <c r="C877" t="s">
        <v>124</v>
      </c>
      <c r="D877" t="s">
        <v>243</v>
      </c>
      <c r="E877" t="s">
        <v>1036</v>
      </c>
      <c r="F877" t="s">
        <v>64</v>
      </c>
      <c r="G877" t="s">
        <v>65</v>
      </c>
      <c r="H877" t="s">
        <v>66</v>
      </c>
      <c r="I877" t="s">
        <v>93</v>
      </c>
      <c r="J877" s="3">
        <v>42518</v>
      </c>
      <c r="K877">
        <v>9.6</v>
      </c>
      <c r="L877">
        <v>36</v>
      </c>
      <c r="M877" s="4">
        <v>6700</v>
      </c>
      <c r="N877" s="4">
        <v>96658</v>
      </c>
      <c r="O877" t="s">
        <v>68</v>
      </c>
      <c r="P877" t="s">
        <v>68</v>
      </c>
      <c r="Q877">
        <v>2.59</v>
      </c>
      <c r="R877">
        <v>63</v>
      </c>
      <c r="S877">
        <v>22</v>
      </c>
      <c r="T877" t="s">
        <v>69</v>
      </c>
      <c r="U877">
        <v>11</v>
      </c>
      <c r="V877">
        <v>2</v>
      </c>
      <c r="W877" t="s">
        <v>70</v>
      </c>
      <c r="X877" t="s">
        <v>68</v>
      </c>
      <c r="Y877" t="s">
        <v>71</v>
      </c>
      <c r="Z877" t="s">
        <v>124</v>
      </c>
    </row>
    <row r="878" spans="1:26" x14ac:dyDescent="0.2">
      <c r="A878" t="s">
        <v>1622</v>
      </c>
      <c r="B878" t="s">
        <v>743</v>
      </c>
      <c r="C878" t="s">
        <v>108</v>
      </c>
      <c r="D878" t="s">
        <v>194</v>
      </c>
      <c r="E878" t="s">
        <v>296</v>
      </c>
      <c r="F878" t="s">
        <v>120</v>
      </c>
      <c r="G878" t="s">
        <v>65</v>
      </c>
      <c r="H878" t="s">
        <v>66</v>
      </c>
      <c r="I878" t="s">
        <v>148</v>
      </c>
      <c r="J878" s="3">
        <v>41126</v>
      </c>
      <c r="K878">
        <v>13.4</v>
      </c>
      <c r="L878">
        <v>59</v>
      </c>
      <c r="M878" s="4">
        <v>7200</v>
      </c>
      <c r="N878" s="4">
        <v>110340</v>
      </c>
      <c r="O878" t="s">
        <v>68</v>
      </c>
      <c r="P878" t="s">
        <v>69</v>
      </c>
      <c r="Q878">
        <v>2.19</v>
      </c>
      <c r="R878">
        <v>61</v>
      </c>
      <c r="S878">
        <v>37</v>
      </c>
      <c r="T878" t="s">
        <v>69</v>
      </c>
      <c r="U878">
        <v>0</v>
      </c>
      <c r="V878">
        <v>18</v>
      </c>
      <c r="W878" t="s">
        <v>70</v>
      </c>
      <c r="X878" t="s">
        <v>68</v>
      </c>
      <c r="Y878" t="s">
        <v>71</v>
      </c>
      <c r="Z878" t="s">
        <v>108</v>
      </c>
    </row>
    <row r="879" spans="1:26" x14ac:dyDescent="0.2">
      <c r="A879" t="s">
        <v>1623</v>
      </c>
      <c r="B879" t="s">
        <v>1523</v>
      </c>
      <c r="C879" t="s">
        <v>74</v>
      </c>
      <c r="D879" t="s">
        <v>139</v>
      </c>
      <c r="E879" t="s">
        <v>539</v>
      </c>
      <c r="F879" t="s">
        <v>84</v>
      </c>
      <c r="G879" t="s">
        <v>215</v>
      </c>
      <c r="H879" t="s">
        <v>66</v>
      </c>
      <c r="I879" t="s">
        <v>79</v>
      </c>
      <c r="J879" s="3">
        <v>44803</v>
      </c>
      <c r="K879">
        <v>3.3</v>
      </c>
      <c r="L879">
        <v>36</v>
      </c>
      <c r="M879" s="4">
        <v>22500</v>
      </c>
      <c r="N879" s="4">
        <v>347978</v>
      </c>
      <c r="O879" t="s">
        <v>69</v>
      </c>
      <c r="P879" t="s">
        <v>68</v>
      </c>
      <c r="Q879">
        <v>3.02</v>
      </c>
      <c r="R879">
        <v>75</v>
      </c>
      <c r="S879">
        <v>30</v>
      </c>
      <c r="T879" t="s">
        <v>69</v>
      </c>
      <c r="U879">
        <v>1</v>
      </c>
      <c r="V879">
        <v>50</v>
      </c>
      <c r="W879" t="s">
        <v>68</v>
      </c>
      <c r="X879" t="s">
        <v>68</v>
      </c>
      <c r="Y879" t="s">
        <v>71</v>
      </c>
      <c r="Z879" t="s">
        <v>74</v>
      </c>
    </row>
    <row r="880" spans="1:26" x14ac:dyDescent="0.2">
      <c r="A880" t="s">
        <v>1624</v>
      </c>
      <c r="B880" t="s">
        <v>1301</v>
      </c>
      <c r="C880" t="s">
        <v>124</v>
      </c>
      <c r="D880" t="s">
        <v>125</v>
      </c>
      <c r="E880" t="s">
        <v>395</v>
      </c>
      <c r="F880" t="s">
        <v>92</v>
      </c>
      <c r="G880" t="s">
        <v>65</v>
      </c>
      <c r="H880" t="s">
        <v>78</v>
      </c>
      <c r="I880" t="s">
        <v>99</v>
      </c>
      <c r="J880" s="3">
        <v>43419</v>
      </c>
      <c r="K880">
        <v>7.1</v>
      </c>
      <c r="L880">
        <v>47</v>
      </c>
      <c r="M880" s="4">
        <v>3700</v>
      </c>
      <c r="N880" s="4">
        <v>54835</v>
      </c>
      <c r="O880" t="s">
        <v>69</v>
      </c>
      <c r="P880" t="s">
        <v>69</v>
      </c>
      <c r="Q880">
        <v>3.01</v>
      </c>
      <c r="R880">
        <v>73</v>
      </c>
      <c r="S880">
        <v>45</v>
      </c>
      <c r="T880" t="s">
        <v>69</v>
      </c>
      <c r="U880">
        <v>0</v>
      </c>
      <c r="V880">
        <v>15</v>
      </c>
      <c r="W880" t="s">
        <v>69</v>
      </c>
      <c r="X880" t="s">
        <v>68</v>
      </c>
      <c r="Y880" t="s">
        <v>71</v>
      </c>
      <c r="Z880" t="s">
        <v>124</v>
      </c>
    </row>
    <row r="881" spans="1:26" x14ac:dyDescent="0.2">
      <c r="A881" t="s">
        <v>1625</v>
      </c>
      <c r="B881" t="s">
        <v>292</v>
      </c>
      <c r="C881" t="s">
        <v>102</v>
      </c>
      <c r="D881" t="s">
        <v>166</v>
      </c>
      <c r="E881" t="s">
        <v>167</v>
      </c>
      <c r="F881" t="s">
        <v>136</v>
      </c>
      <c r="G881" t="s">
        <v>85</v>
      </c>
      <c r="H881" t="s">
        <v>78</v>
      </c>
      <c r="I881" t="s">
        <v>121</v>
      </c>
      <c r="J881" s="3">
        <v>43249</v>
      </c>
      <c r="K881">
        <v>7.6</v>
      </c>
      <c r="L881">
        <v>24</v>
      </c>
      <c r="M881" s="4">
        <v>14100</v>
      </c>
      <c r="N881" s="4">
        <v>202188</v>
      </c>
      <c r="O881" t="s">
        <v>68</v>
      </c>
      <c r="P881" t="s">
        <v>69</v>
      </c>
      <c r="Q881">
        <v>3.36</v>
      </c>
      <c r="R881">
        <v>61</v>
      </c>
      <c r="S881">
        <v>19</v>
      </c>
      <c r="T881" t="s">
        <v>69</v>
      </c>
      <c r="U881">
        <v>8</v>
      </c>
      <c r="V881">
        <v>30</v>
      </c>
      <c r="W881" t="s">
        <v>70</v>
      </c>
      <c r="X881" t="s">
        <v>68</v>
      </c>
      <c r="Y881" t="s">
        <v>71</v>
      </c>
      <c r="Z881" t="s">
        <v>102</v>
      </c>
    </row>
    <row r="882" spans="1:26" x14ac:dyDescent="0.2">
      <c r="A882" t="s">
        <v>1626</v>
      </c>
      <c r="B882" t="s">
        <v>766</v>
      </c>
      <c r="C882" t="s">
        <v>102</v>
      </c>
      <c r="D882" t="s">
        <v>103</v>
      </c>
      <c r="E882" t="s">
        <v>369</v>
      </c>
      <c r="F882" t="s">
        <v>120</v>
      </c>
      <c r="G882" t="s">
        <v>65</v>
      </c>
      <c r="H882" t="s">
        <v>66</v>
      </c>
      <c r="I882" t="s">
        <v>121</v>
      </c>
      <c r="J882" s="3">
        <v>40987</v>
      </c>
      <c r="K882">
        <v>13.8</v>
      </c>
      <c r="L882">
        <v>49</v>
      </c>
      <c r="M882" s="4">
        <v>7600</v>
      </c>
      <c r="N882" s="4">
        <v>120986</v>
      </c>
      <c r="O882" t="s">
        <v>69</v>
      </c>
      <c r="P882" t="s">
        <v>69</v>
      </c>
      <c r="Q882">
        <v>2.2000000000000002</v>
      </c>
      <c r="R882">
        <v>64</v>
      </c>
      <c r="S882">
        <v>37</v>
      </c>
      <c r="T882" t="s">
        <v>69</v>
      </c>
      <c r="U882">
        <v>0</v>
      </c>
      <c r="V882">
        <v>25</v>
      </c>
      <c r="W882" t="s">
        <v>69</v>
      </c>
      <c r="X882" t="s">
        <v>68</v>
      </c>
      <c r="Y882" t="s">
        <v>71</v>
      </c>
      <c r="Z882" t="s">
        <v>102</v>
      </c>
    </row>
    <row r="883" spans="1:26" x14ac:dyDescent="0.2">
      <c r="A883" t="s">
        <v>1627</v>
      </c>
      <c r="B883" t="s">
        <v>582</v>
      </c>
      <c r="C883" t="s">
        <v>89</v>
      </c>
      <c r="D883" t="s">
        <v>239</v>
      </c>
      <c r="E883" t="s">
        <v>261</v>
      </c>
      <c r="F883" t="s">
        <v>64</v>
      </c>
      <c r="G883" t="s">
        <v>85</v>
      </c>
      <c r="H883" t="s">
        <v>66</v>
      </c>
      <c r="I883" t="s">
        <v>99</v>
      </c>
      <c r="J883" s="3">
        <v>45089</v>
      </c>
      <c r="K883">
        <v>2.6</v>
      </c>
      <c r="L883">
        <v>57</v>
      </c>
      <c r="M883" s="4">
        <v>7100</v>
      </c>
      <c r="N883" s="4">
        <v>101904</v>
      </c>
      <c r="O883" t="s">
        <v>68</v>
      </c>
      <c r="P883" t="s">
        <v>69</v>
      </c>
      <c r="Q883">
        <v>2.5</v>
      </c>
      <c r="R883">
        <v>75</v>
      </c>
      <c r="S883">
        <v>44</v>
      </c>
      <c r="T883" t="s">
        <v>69</v>
      </c>
      <c r="U883">
        <v>7</v>
      </c>
      <c r="V883">
        <v>45</v>
      </c>
      <c r="W883" t="s">
        <v>70</v>
      </c>
      <c r="X883" t="s">
        <v>68</v>
      </c>
      <c r="Y883" t="s">
        <v>71</v>
      </c>
      <c r="Z883" t="s">
        <v>89</v>
      </c>
    </row>
    <row r="884" spans="1:26" x14ac:dyDescent="0.2">
      <c r="A884" t="s">
        <v>1628</v>
      </c>
      <c r="B884" t="s">
        <v>1629</v>
      </c>
      <c r="C884" t="s">
        <v>61</v>
      </c>
      <c r="D884" t="s">
        <v>62</v>
      </c>
      <c r="E884" t="s">
        <v>643</v>
      </c>
      <c r="F884" t="s">
        <v>84</v>
      </c>
      <c r="G884" t="s">
        <v>65</v>
      </c>
      <c r="H884" t="s">
        <v>66</v>
      </c>
      <c r="I884" t="s">
        <v>99</v>
      </c>
      <c r="J884" s="3">
        <v>45430</v>
      </c>
      <c r="K884">
        <v>1.6</v>
      </c>
      <c r="L884">
        <v>46</v>
      </c>
      <c r="M884" s="4">
        <v>21000</v>
      </c>
      <c r="N884" s="4">
        <v>316563</v>
      </c>
      <c r="O884" t="s">
        <v>69</v>
      </c>
      <c r="P884" t="s">
        <v>69</v>
      </c>
      <c r="Q884">
        <v>2.93</v>
      </c>
      <c r="R884">
        <v>54</v>
      </c>
      <c r="S884">
        <v>53</v>
      </c>
      <c r="T884" t="s">
        <v>69</v>
      </c>
      <c r="U884">
        <v>3</v>
      </c>
      <c r="V884">
        <v>25</v>
      </c>
      <c r="W884" t="s">
        <v>68</v>
      </c>
      <c r="X884" t="s">
        <v>68</v>
      </c>
      <c r="Y884" t="s">
        <v>86</v>
      </c>
      <c r="Z884" t="s">
        <v>61</v>
      </c>
    </row>
    <row r="885" spans="1:26" x14ac:dyDescent="0.2">
      <c r="A885" t="s">
        <v>1630</v>
      </c>
      <c r="B885" t="s">
        <v>380</v>
      </c>
      <c r="C885" t="s">
        <v>96</v>
      </c>
      <c r="D885" t="s">
        <v>234</v>
      </c>
      <c r="E885" t="s">
        <v>615</v>
      </c>
      <c r="F885" t="s">
        <v>84</v>
      </c>
      <c r="G885" t="s">
        <v>85</v>
      </c>
      <c r="H885" t="s">
        <v>78</v>
      </c>
      <c r="I885" t="s">
        <v>121</v>
      </c>
      <c r="J885" s="3">
        <v>43033</v>
      </c>
      <c r="K885">
        <v>8.1999999999999993</v>
      </c>
      <c r="L885">
        <v>37</v>
      </c>
      <c r="M885" s="4">
        <v>18000</v>
      </c>
      <c r="N885" s="4">
        <v>292841</v>
      </c>
      <c r="O885" t="s">
        <v>69</v>
      </c>
      <c r="P885" t="s">
        <v>69</v>
      </c>
      <c r="Q885">
        <v>3.45</v>
      </c>
      <c r="R885">
        <v>68</v>
      </c>
      <c r="S885">
        <v>33</v>
      </c>
      <c r="T885" t="s">
        <v>69</v>
      </c>
      <c r="U885">
        <v>7</v>
      </c>
      <c r="V885">
        <v>0</v>
      </c>
      <c r="W885" t="s">
        <v>68</v>
      </c>
      <c r="X885" t="s">
        <v>68</v>
      </c>
      <c r="Y885" t="s">
        <v>71</v>
      </c>
      <c r="Z885" t="s">
        <v>96</v>
      </c>
    </row>
    <row r="886" spans="1:26" x14ac:dyDescent="0.2">
      <c r="A886" t="s">
        <v>1631</v>
      </c>
      <c r="B886" t="s">
        <v>1088</v>
      </c>
      <c r="C886" t="s">
        <v>61</v>
      </c>
      <c r="D886" t="s">
        <v>177</v>
      </c>
      <c r="E886" t="s">
        <v>776</v>
      </c>
      <c r="F886" t="s">
        <v>136</v>
      </c>
      <c r="G886" t="s">
        <v>65</v>
      </c>
      <c r="H886" t="s">
        <v>66</v>
      </c>
      <c r="I886" t="s">
        <v>67</v>
      </c>
      <c r="J886" s="3">
        <v>41739</v>
      </c>
      <c r="K886">
        <v>11.7</v>
      </c>
      <c r="L886">
        <v>22</v>
      </c>
      <c r="M886" s="4">
        <v>13000</v>
      </c>
      <c r="N886" s="4">
        <v>194466</v>
      </c>
      <c r="O886" t="s">
        <v>68</v>
      </c>
      <c r="P886" t="s">
        <v>68</v>
      </c>
      <c r="Q886">
        <v>3.19</v>
      </c>
      <c r="R886">
        <v>87</v>
      </c>
      <c r="S886">
        <v>43</v>
      </c>
      <c r="T886" t="s">
        <v>68</v>
      </c>
      <c r="U886">
        <v>13</v>
      </c>
      <c r="V886">
        <v>0</v>
      </c>
      <c r="W886" t="s">
        <v>70</v>
      </c>
      <c r="X886" t="s">
        <v>68</v>
      </c>
      <c r="Y886" t="s">
        <v>71</v>
      </c>
      <c r="Z886" t="s">
        <v>61</v>
      </c>
    </row>
    <row r="887" spans="1:26" x14ac:dyDescent="0.2">
      <c r="A887" t="s">
        <v>1632</v>
      </c>
      <c r="B887" t="s">
        <v>295</v>
      </c>
      <c r="C887" t="s">
        <v>89</v>
      </c>
      <c r="D887" t="s">
        <v>90</v>
      </c>
      <c r="E887" t="s">
        <v>333</v>
      </c>
      <c r="F887" t="s">
        <v>136</v>
      </c>
      <c r="G887" t="s">
        <v>65</v>
      </c>
      <c r="H887" t="s">
        <v>66</v>
      </c>
      <c r="I887" t="s">
        <v>105</v>
      </c>
      <c r="J887" s="3">
        <v>42701</v>
      </c>
      <c r="K887">
        <v>9.1</v>
      </c>
      <c r="L887">
        <v>48</v>
      </c>
      <c r="M887" s="4">
        <v>12900</v>
      </c>
      <c r="N887" s="4">
        <v>184222</v>
      </c>
      <c r="O887" t="s">
        <v>68</v>
      </c>
      <c r="P887" t="s">
        <v>69</v>
      </c>
      <c r="Q887">
        <v>3.15</v>
      </c>
      <c r="R887">
        <v>54</v>
      </c>
      <c r="S887">
        <v>17</v>
      </c>
      <c r="T887" t="s">
        <v>69</v>
      </c>
      <c r="U887">
        <v>10</v>
      </c>
      <c r="V887">
        <v>40</v>
      </c>
      <c r="W887" t="s">
        <v>70</v>
      </c>
      <c r="X887" t="s">
        <v>68</v>
      </c>
      <c r="Y887" t="s">
        <v>86</v>
      </c>
      <c r="Z887" t="s">
        <v>89</v>
      </c>
    </row>
    <row r="888" spans="1:26" x14ac:dyDescent="0.2">
      <c r="A888" t="s">
        <v>1633</v>
      </c>
      <c r="B888" t="s">
        <v>1065</v>
      </c>
      <c r="C888" t="s">
        <v>143</v>
      </c>
      <c r="D888" t="s">
        <v>158</v>
      </c>
      <c r="E888" t="s">
        <v>577</v>
      </c>
      <c r="F888" t="s">
        <v>120</v>
      </c>
      <c r="G888" t="s">
        <v>65</v>
      </c>
      <c r="H888" t="s">
        <v>66</v>
      </c>
      <c r="I888" t="s">
        <v>236</v>
      </c>
      <c r="J888" s="3">
        <v>43904</v>
      </c>
      <c r="K888">
        <v>5.8</v>
      </c>
      <c r="L888">
        <v>47</v>
      </c>
      <c r="M888" s="4">
        <v>8300</v>
      </c>
      <c r="N888" s="4">
        <v>125809</v>
      </c>
      <c r="O888" t="s">
        <v>68</v>
      </c>
      <c r="P888" t="s">
        <v>69</v>
      </c>
      <c r="Q888">
        <v>2.9</v>
      </c>
      <c r="R888">
        <v>64</v>
      </c>
      <c r="S888">
        <v>40</v>
      </c>
      <c r="T888" t="s">
        <v>69</v>
      </c>
      <c r="U888">
        <v>5</v>
      </c>
      <c r="V888">
        <v>23</v>
      </c>
      <c r="W888" t="s">
        <v>70</v>
      </c>
      <c r="X888" t="s">
        <v>68</v>
      </c>
      <c r="Y888" t="s">
        <v>71</v>
      </c>
      <c r="Z888" t="s">
        <v>143</v>
      </c>
    </row>
    <row r="889" spans="1:26" x14ac:dyDescent="0.2">
      <c r="A889" t="s">
        <v>1634</v>
      </c>
      <c r="B889" t="s">
        <v>1132</v>
      </c>
      <c r="C889" t="s">
        <v>108</v>
      </c>
      <c r="D889" t="s">
        <v>109</v>
      </c>
      <c r="E889" t="s">
        <v>355</v>
      </c>
      <c r="F889" t="s">
        <v>77</v>
      </c>
      <c r="G889" t="s">
        <v>65</v>
      </c>
      <c r="H889" t="s">
        <v>78</v>
      </c>
      <c r="I889" t="s">
        <v>99</v>
      </c>
      <c r="J889" s="3">
        <v>44698</v>
      </c>
      <c r="K889">
        <v>3.6</v>
      </c>
      <c r="L889">
        <v>39</v>
      </c>
      <c r="M889" s="4">
        <v>13800</v>
      </c>
      <c r="N889" s="4">
        <v>204892</v>
      </c>
      <c r="O889" t="s">
        <v>68</v>
      </c>
      <c r="P889" t="s">
        <v>69</v>
      </c>
      <c r="Q889">
        <v>3.51</v>
      </c>
      <c r="R889">
        <v>58</v>
      </c>
      <c r="S889">
        <v>35</v>
      </c>
      <c r="T889" t="s">
        <v>69</v>
      </c>
      <c r="U889">
        <v>4</v>
      </c>
      <c r="V889">
        <v>19</v>
      </c>
      <c r="W889" t="s">
        <v>70</v>
      </c>
      <c r="X889" t="s">
        <v>69</v>
      </c>
      <c r="Y889" t="s">
        <v>71</v>
      </c>
      <c r="Z889" t="s">
        <v>108</v>
      </c>
    </row>
    <row r="890" spans="1:26" x14ac:dyDescent="0.2">
      <c r="A890" t="s">
        <v>1635</v>
      </c>
      <c r="B890" t="s">
        <v>910</v>
      </c>
      <c r="C890" t="s">
        <v>96</v>
      </c>
      <c r="D890" t="s">
        <v>129</v>
      </c>
      <c r="E890" t="s">
        <v>562</v>
      </c>
      <c r="F890" t="s">
        <v>77</v>
      </c>
      <c r="G890" t="s">
        <v>65</v>
      </c>
      <c r="H890" t="s">
        <v>66</v>
      </c>
      <c r="I890" t="s">
        <v>115</v>
      </c>
      <c r="J890" s="3">
        <v>42849</v>
      </c>
      <c r="K890">
        <v>8.6999999999999993</v>
      </c>
      <c r="L890">
        <v>37</v>
      </c>
      <c r="M890" s="4">
        <v>14100</v>
      </c>
      <c r="N890" s="4">
        <v>206140</v>
      </c>
      <c r="O890" t="s">
        <v>68</v>
      </c>
      <c r="P890" t="s">
        <v>69</v>
      </c>
      <c r="Q890">
        <v>3.7</v>
      </c>
      <c r="R890">
        <v>62</v>
      </c>
      <c r="S890">
        <v>34</v>
      </c>
      <c r="T890" t="s">
        <v>69</v>
      </c>
      <c r="U890">
        <v>5</v>
      </c>
      <c r="V890">
        <v>0</v>
      </c>
      <c r="W890" t="s">
        <v>70</v>
      </c>
      <c r="X890" t="s">
        <v>69</v>
      </c>
      <c r="Y890" t="s">
        <v>71</v>
      </c>
      <c r="Z890" t="s">
        <v>96</v>
      </c>
    </row>
    <row r="891" spans="1:26" x14ac:dyDescent="0.2">
      <c r="A891" t="s">
        <v>1636</v>
      </c>
      <c r="B891" t="s">
        <v>449</v>
      </c>
      <c r="C891" t="s">
        <v>102</v>
      </c>
      <c r="D891" t="s">
        <v>339</v>
      </c>
      <c r="E891" t="s">
        <v>921</v>
      </c>
      <c r="F891" t="s">
        <v>84</v>
      </c>
      <c r="G891" t="s">
        <v>65</v>
      </c>
      <c r="H891" t="s">
        <v>66</v>
      </c>
      <c r="I891" t="s">
        <v>99</v>
      </c>
      <c r="J891" s="3">
        <v>44452</v>
      </c>
      <c r="K891">
        <v>4.3</v>
      </c>
      <c r="L891">
        <v>54</v>
      </c>
      <c r="M891" s="4">
        <v>25400</v>
      </c>
      <c r="N891" s="4">
        <v>391120</v>
      </c>
      <c r="O891" t="s">
        <v>69</v>
      </c>
      <c r="P891" t="s">
        <v>69</v>
      </c>
      <c r="Q891">
        <v>2.21</v>
      </c>
      <c r="R891">
        <v>54</v>
      </c>
      <c r="S891">
        <v>46</v>
      </c>
      <c r="T891" t="s">
        <v>69</v>
      </c>
      <c r="U891">
        <v>11</v>
      </c>
      <c r="V891">
        <v>51</v>
      </c>
      <c r="W891" t="s">
        <v>68</v>
      </c>
      <c r="X891" t="s">
        <v>68</v>
      </c>
      <c r="Y891" t="s">
        <v>86</v>
      </c>
      <c r="Z891" t="s">
        <v>102</v>
      </c>
    </row>
    <row r="892" spans="1:26" x14ac:dyDescent="0.2">
      <c r="A892" t="s">
        <v>1637</v>
      </c>
      <c r="B892" t="s">
        <v>316</v>
      </c>
      <c r="C892" t="s">
        <v>74</v>
      </c>
      <c r="D892" t="s">
        <v>118</v>
      </c>
      <c r="E892" t="s">
        <v>511</v>
      </c>
      <c r="F892" t="s">
        <v>77</v>
      </c>
      <c r="G892" t="s">
        <v>227</v>
      </c>
      <c r="H892" t="s">
        <v>66</v>
      </c>
      <c r="I892" t="s">
        <v>111</v>
      </c>
      <c r="J892" s="3">
        <v>45989</v>
      </c>
      <c r="K892">
        <v>0.1</v>
      </c>
      <c r="L892">
        <v>45</v>
      </c>
      <c r="M892" s="4">
        <v>10600</v>
      </c>
      <c r="N892" s="4">
        <v>153386</v>
      </c>
      <c r="O892" t="s">
        <v>68</v>
      </c>
      <c r="P892" t="s">
        <v>68</v>
      </c>
      <c r="Q892">
        <v>2.72</v>
      </c>
      <c r="R892">
        <v>59</v>
      </c>
      <c r="S892">
        <v>38</v>
      </c>
      <c r="T892" t="s">
        <v>69</v>
      </c>
      <c r="U892">
        <v>1</v>
      </c>
      <c r="V892">
        <v>25</v>
      </c>
      <c r="W892" t="s">
        <v>70</v>
      </c>
      <c r="X892" t="s">
        <v>68</v>
      </c>
      <c r="Y892" t="s">
        <v>71</v>
      </c>
      <c r="Z892" t="s">
        <v>74</v>
      </c>
    </row>
    <row r="893" spans="1:26" x14ac:dyDescent="0.2">
      <c r="A893" t="s">
        <v>1638</v>
      </c>
      <c r="B893" t="s">
        <v>868</v>
      </c>
      <c r="C893" t="s">
        <v>96</v>
      </c>
      <c r="D893" t="s">
        <v>162</v>
      </c>
      <c r="E893" t="s">
        <v>748</v>
      </c>
      <c r="F893" t="s">
        <v>64</v>
      </c>
      <c r="G893" t="s">
        <v>65</v>
      </c>
      <c r="H893" t="s">
        <v>66</v>
      </c>
      <c r="I893" t="s">
        <v>148</v>
      </c>
      <c r="J893" s="3">
        <v>44576</v>
      </c>
      <c r="K893">
        <v>4</v>
      </c>
      <c r="L893">
        <v>59</v>
      </c>
      <c r="M893" s="4">
        <v>4500</v>
      </c>
      <c r="N893" s="4">
        <v>73424</v>
      </c>
      <c r="O893" t="s">
        <v>68</v>
      </c>
      <c r="P893" t="s">
        <v>69</v>
      </c>
      <c r="Q893">
        <v>3.27</v>
      </c>
      <c r="R893">
        <v>67</v>
      </c>
      <c r="S893">
        <v>7</v>
      </c>
      <c r="T893" t="s">
        <v>69</v>
      </c>
      <c r="U893">
        <v>10</v>
      </c>
      <c r="V893">
        <v>7</v>
      </c>
      <c r="W893" t="s">
        <v>70</v>
      </c>
      <c r="X893" t="s">
        <v>68</v>
      </c>
      <c r="Y893" t="s">
        <v>71</v>
      </c>
      <c r="Z893" t="s">
        <v>96</v>
      </c>
    </row>
    <row r="894" spans="1:26" x14ac:dyDescent="0.2">
      <c r="A894" t="s">
        <v>1639</v>
      </c>
      <c r="B894" t="s">
        <v>357</v>
      </c>
      <c r="C894" t="s">
        <v>74</v>
      </c>
      <c r="D894" t="s">
        <v>139</v>
      </c>
      <c r="E894" t="s">
        <v>539</v>
      </c>
      <c r="F894" t="s">
        <v>84</v>
      </c>
      <c r="G894" t="s">
        <v>65</v>
      </c>
      <c r="H894" t="s">
        <v>78</v>
      </c>
      <c r="I894" t="s">
        <v>79</v>
      </c>
      <c r="J894" s="3">
        <v>42734</v>
      </c>
      <c r="K894">
        <v>9</v>
      </c>
      <c r="L894">
        <v>43</v>
      </c>
      <c r="M894" s="4">
        <v>17000</v>
      </c>
      <c r="N894" s="4">
        <v>244072</v>
      </c>
      <c r="O894" t="s">
        <v>69</v>
      </c>
      <c r="P894" t="s">
        <v>68</v>
      </c>
      <c r="Q894">
        <v>3.87</v>
      </c>
      <c r="R894">
        <v>74</v>
      </c>
      <c r="S894">
        <v>34</v>
      </c>
      <c r="T894" t="s">
        <v>69</v>
      </c>
      <c r="U894">
        <v>1</v>
      </c>
      <c r="V894">
        <v>25</v>
      </c>
      <c r="W894" t="s">
        <v>69</v>
      </c>
      <c r="X894" t="s">
        <v>69</v>
      </c>
      <c r="Y894" t="s">
        <v>71</v>
      </c>
      <c r="Z894" t="s">
        <v>74</v>
      </c>
    </row>
    <row r="895" spans="1:26" x14ac:dyDescent="0.2">
      <c r="A895" t="s">
        <v>1640</v>
      </c>
      <c r="B895" t="s">
        <v>678</v>
      </c>
      <c r="C895" t="s">
        <v>74</v>
      </c>
      <c r="D895" t="s">
        <v>313</v>
      </c>
      <c r="E895" t="s">
        <v>1397</v>
      </c>
      <c r="F895" t="s">
        <v>84</v>
      </c>
      <c r="G895" t="s">
        <v>65</v>
      </c>
      <c r="H895" t="s">
        <v>78</v>
      </c>
      <c r="I895" t="s">
        <v>67</v>
      </c>
      <c r="J895" s="3">
        <v>41872</v>
      </c>
      <c r="K895">
        <v>11.4</v>
      </c>
      <c r="L895">
        <v>58</v>
      </c>
      <c r="M895" s="4">
        <v>21400</v>
      </c>
      <c r="N895" s="4">
        <v>325025</v>
      </c>
      <c r="O895" t="s">
        <v>69</v>
      </c>
      <c r="P895" t="s">
        <v>69</v>
      </c>
      <c r="Q895">
        <v>3.31</v>
      </c>
      <c r="R895">
        <v>74</v>
      </c>
      <c r="S895">
        <v>20</v>
      </c>
      <c r="T895" t="s">
        <v>69</v>
      </c>
      <c r="U895">
        <v>0</v>
      </c>
      <c r="V895">
        <v>14</v>
      </c>
      <c r="W895" t="s">
        <v>69</v>
      </c>
      <c r="X895" t="s">
        <v>68</v>
      </c>
      <c r="Y895" t="s">
        <v>71</v>
      </c>
      <c r="Z895" t="s">
        <v>74</v>
      </c>
    </row>
    <row r="896" spans="1:26" x14ac:dyDescent="0.2">
      <c r="A896" t="s">
        <v>1641</v>
      </c>
      <c r="B896" t="s">
        <v>727</v>
      </c>
      <c r="C896" t="s">
        <v>96</v>
      </c>
      <c r="D896" t="s">
        <v>234</v>
      </c>
      <c r="E896" t="s">
        <v>591</v>
      </c>
      <c r="F896" t="s">
        <v>64</v>
      </c>
      <c r="G896" t="s">
        <v>65</v>
      </c>
      <c r="H896" t="s">
        <v>78</v>
      </c>
      <c r="I896" t="s">
        <v>67</v>
      </c>
      <c r="J896" s="3">
        <v>44195</v>
      </c>
      <c r="K896">
        <v>5</v>
      </c>
      <c r="L896">
        <v>39</v>
      </c>
      <c r="M896" s="4">
        <v>5900</v>
      </c>
      <c r="N896" s="4">
        <v>92870</v>
      </c>
      <c r="O896" t="s">
        <v>68</v>
      </c>
      <c r="P896" t="s">
        <v>69</v>
      </c>
      <c r="Q896">
        <v>3.2</v>
      </c>
      <c r="R896">
        <v>72</v>
      </c>
      <c r="S896">
        <v>36</v>
      </c>
      <c r="T896" t="s">
        <v>69</v>
      </c>
      <c r="U896">
        <v>11</v>
      </c>
      <c r="V896">
        <v>6</v>
      </c>
      <c r="W896" t="s">
        <v>70</v>
      </c>
      <c r="X896" t="s">
        <v>68</v>
      </c>
      <c r="Y896" t="s">
        <v>71</v>
      </c>
      <c r="Z896" t="s">
        <v>96</v>
      </c>
    </row>
    <row r="897" spans="1:26" x14ac:dyDescent="0.2">
      <c r="A897" t="s">
        <v>1642</v>
      </c>
      <c r="B897" t="s">
        <v>1289</v>
      </c>
      <c r="C897" t="s">
        <v>12</v>
      </c>
      <c r="D897" t="s">
        <v>82</v>
      </c>
      <c r="E897" t="s">
        <v>83</v>
      </c>
      <c r="F897" t="s">
        <v>84</v>
      </c>
      <c r="G897" t="s">
        <v>227</v>
      </c>
      <c r="H897" t="s">
        <v>78</v>
      </c>
      <c r="I897" t="s">
        <v>111</v>
      </c>
      <c r="J897" s="3">
        <v>44137</v>
      </c>
      <c r="K897">
        <v>5.2</v>
      </c>
      <c r="L897">
        <v>27</v>
      </c>
      <c r="M897" s="4">
        <v>23600</v>
      </c>
      <c r="N897" s="4">
        <v>340968</v>
      </c>
      <c r="O897" t="s">
        <v>69</v>
      </c>
      <c r="P897" t="s">
        <v>68</v>
      </c>
      <c r="Q897">
        <v>3.67</v>
      </c>
      <c r="R897">
        <v>63</v>
      </c>
      <c r="S897">
        <v>30</v>
      </c>
      <c r="T897" t="s">
        <v>68</v>
      </c>
      <c r="U897">
        <v>5</v>
      </c>
      <c r="V897">
        <v>0</v>
      </c>
      <c r="W897" t="s">
        <v>68</v>
      </c>
      <c r="X897" t="s">
        <v>69</v>
      </c>
      <c r="Y897" t="s">
        <v>71</v>
      </c>
      <c r="Z897" t="s">
        <v>12</v>
      </c>
    </row>
    <row r="898" spans="1:26" x14ac:dyDescent="0.2">
      <c r="A898" t="s">
        <v>1643</v>
      </c>
      <c r="B898" t="s">
        <v>132</v>
      </c>
      <c r="C898" t="s">
        <v>12</v>
      </c>
      <c r="D898" t="s">
        <v>249</v>
      </c>
      <c r="E898" t="s">
        <v>1644</v>
      </c>
      <c r="F898" t="s">
        <v>64</v>
      </c>
      <c r="G898" t="s">
        <v>65</v>
      </c>
      <c r="H898" t="s">
        <v>78</v>
      </c>
      <c r="I898" t="s">
        <v>99</v>
      </c>
      <c r="J898" s="3">
        <v>43561</v>
      </c>
      <c r="K898">
        <v>6.7</v>
      </c>
      <c r="L898">
        <v>29</v>
      </c>
      <c r="M898" s="4">
        <v>7200</v>
      </c>
      <c r="N898" s="4">
        <v>102708</v>
      </c>
      <c r="O898" t="s">
        <v>68</v>
      </c>
      <c r="P898" t="s">
        <v>68</v>
      </c>
      <c r="Q898">
        <v>2.9</v>
      </c>
      <c r="R898">
        <v>80</v>
      </c>
      <c r="S898">
        <v>7</v>
      </c>
      <c r="T898" t="s">
        <v>69</v>
      </c>
      <c r="U898">
        <v>7</v>
      </c>
      <c r="V898">
        <v>19</v>
      </c>
      <c r="W898" t="s">
        <v>70</v>
      </c>
      <c r="X898" t="s">
        <v>68</v>
      </c>
      <c r="Y898" t="s">
        <v>71</v>
      </c>
      <c r="Z898" t="s">
        <v>12</v>
      </c>
    </row>
    <row r="899" spans="1:26" x14ac:dyDescent="0.2">
      <c r="A899" t="s">
        <v>1645</v>
      </c>
      <c r="B899" t="s">
        <v>1612</v>
      </c>
      <c r="C899" t="s">
        <v>89</v>
      </c>
      <c r="D899" t="s">
        <v>90</v>
      </c>
      <c r="E899" t="s">
        <v>348</v>
      </c>
      <c r="F899" t="s">
        <v>77</v>
      </c>
      <c r="G899" t="s">
        <v>65</v>
      </c>
      <c r="H899" t="s">
        <v>78</v>
      </c>
      <c r="I899" t="s">
        <v>67</v>
      </c>
      <c r="J899" s="3">
        <v>41492</v>
      </c>
      <c r="K899">
        <v>12.4</v>
      </c>
      <c r="L899">
        <v>49</v>
      </c>
      <c r="M899" s="4">
        <v>8400</v>
      </c>
      <c r="N899" s="4">
        <v>131262</v>
      </c>
      <c r="O899" t="s">
        <v>69</v>
      </c>
      <c r="P899" t="s">
        <v>69</v>
      </c>
      <c r="Q899">
        <v>2.88</v>
      </c>
      <c r="R899">
        <v>62</v>
      </c>
      <c r="S899">
        <v>16</v>
      </c>
      <c r="T899" t="s">
        <v>69</v>
      </c>
      <c r="U899">
        <v>7</v>
      </c>
      <c r="V899">
        <v>9</v>
      </c>
      <c r="W899" t="s">
        <v>69</v>
      </c>
      <c r="X899" t="s">
        <v>68</v>
      </c>
      <c r="Y899" t="s">
        <v>71</v>
      </c>
      <c r="Z899" t="s">
        <v>89</v>
      </c>
    </row>
    <row r="900" spans="1:26" x14ac:dyDescent="0.2">
      <c r="A900" t="s">
        <v>1646</v>
      </c>
      <c r="B900" t="s">
        <v>1430</v>
      </c>
      <c r="C900" t="s">
        <v>89</v>
      </c>
      <c r="D900" t="s">
        <v>154</v>
      </c>
      <c r="E900" t="s">
        <v>689</v>
      </c>
      <c r="F900" t="s">
        <v>136</v>
      </c>
      <c r="G900" t="s">
        <v>65</v>
      </c>
      <c r="H900" t="s">
        <v>66</v>
      </c>
      <c r="I900" t="s">
        <v>148</v>
      </c>
      <c r="J900" s="3">
        <v>42062</v>
      </c>
      <c r="K900">
        <v>10.9</v>
      </c>
      <c r="L900">
        <v>46</v>
      </c>
      <c r="M900" s="4">
        <v>14200</v>
      </c>
      <c r="N900" s="4">
        <v>202738</v>
      </c>
      <c r="O900" t="s">
        <v>68</v>
      </c>
      <c r="P900" t="s">
        <v>69</v>
      </c>
      <c r="Q900">
        <v>3.35</v>
      </c>
      <c r="R900">
        <v>49</v>
      </c>
      <c r="S900">
        <v>31</v>
      </c>
      <c r="T900" t="s">
        <v>69</v>
      </c>
      <c r="U900">
        <v>10</v>
      </c>
      <c r="V900">
        <v>44</v>
      </c>
      <c r="W900" t="s">
        <v>70</v>
      </c>
      <c r="X900" t="s">
        <v>68</v>
      </c>
      <c r="Y900" t="s">
        <v>86</v>
      </c>
      <c r="Z900" t="s">
        <v>89</v>
      </c>
    </row>
    <row r="901" spans="1:26" x14ac:dyDescent="0.2">
      <c r="A901" t="s">
        <v>1647</v>
      </c>
      <c r="B901" t="s">
        <v>588</v>
      </c>
      <c r="C901" t="s">
        <v>108</v>
      </c>
      <c r="D901" t="s">
        <v>109</v>
      </c>
      <c r="E901" t="s">
        <v>600</v>
      </c>
      <c r="F901" t="s">
        <v>120</v>
      </c>
      <c r="G901" t="s">
        <v>65</v>
      </c>
      <c r="H901" t="s">
        <v>66</v>
      </c>
      <c r="I901" t="s">
        <v>93</v>
      </c>
      <c r="J901" s="3">
        <v>44040</v>
      </c>
      <c r="K901">
        <v>5.4</v>
      </c>
      <c r="L901">
        <v>38</v>
      </c>
      <c r="M901" s="4">
        <v>9000</v>
      </c>
      <c r="N901" s="4">
        <v>140703</v>
      </c>
      <c r="O901" t="s">
        <v>69</v>
      </c>
      <c r="P901" t="s">
        <v>69</v>
      </c>
      <c r="Q901">
        <v>3.01</v>
      </c>
      <c r="R901">
        <v>70</v>
      </c>
      <c r="S901">
        <v>27</v>
      </c>
      <c r="T901" t="s">
        <v>69</v>
      </c>
      <c r="U901">
        <v>9</v>
      </c>
      <c r="V901">
        <v>19</v>
      </c>
      <c r="W901" t="s">
        <v>69</v>
      </c>
      <c r="X901" t="s">
        <v>68</v>
      </c>
      <c r="Y901" t="s">
        <v>71</v>
      </c>
      <c r="Z901" t="s">
        <v>108</v>
      </c>
    </row>
    <row r="902" spans="1:26" x14ac:dyDescent="0.2">
      <c r="A902" t="s">
        <v>1648</v>
      </c>
      <c r="B902" t="s">
        <v>1497</v>
      </c>
      <c r="C902" t="s">
        <v>74</v>
      </c>
      <c r="D902" t="s">
        <v>75</v>
      </c>
      <c r="E902" t="s">
        <v>728</v>
      </c>
      <c r="F902" t="s">
        <v>174</v>
      </c>
      <c r="G902" t="s">
        <v>65</v>
      </c>
      <c r="H902" t="s">
        <v>66</v>
      </c>
      <c r="I902" t="s">
        <v>99</v>
      </c>
      <c r="J902" s="3">
        <v>45288</v>
      </c>
      <c r="K902">
        <v>2</v>
      </c>
      <c r="L902">
        <v>56</v>
      </c>
      <c r="M902" s="4">
        <v>21800</v>
      </c>
      <c r="N902" s="4">
        <v>354904</v>
      </c>
      <c r="O902" t="s">
        <v>69</v>
      </c>
      <c r="P902" t="s">
        <v>69</v>
      </c>
      <c r="Q902">
        <v>2.7</v>
      </c>
      <c r="R902">
        <v>82</v>
      </c>
      <c r="S902">
        <v>45</v>
      </c>
      <c r="T902" t="s">
        <v>69</v>
      </c>
      <c r="U902">
        <v>3</v>
      </c>
      <c r="V902">
        <v>22</v>
      </c>
      <c r="W902" t="s">
        <v>68</v>
      </c>
      <c r="X902" t="s">
        <v>68</v>
      </c>
      <c r="Y902" t="s">
        <v>71</v>
      </c>
      <c r="Z902" t="s">
        <v>74</v>
      </c>
    </row>
    <row r="903" spans="1:26" x14ac:dyDescent="0.2">
      <c r="A903" t="s">
        <v>1649</v>
      </c>
      <c r="B903" t="s">
        <v>420</v>
      </c>
      <c r="C903" t="s">
        <v>74</v>
      </c>
      <c r="D903" t="s">
        <v>118</v>
      </c>
      <c r="E903" t="s">
        <v>119</v>
      </c>
      <c r="F903" t="s">
        <v>120</v>
      </c>
      <c r="G903" t="s">
        <v>85</v>
      </c>
      <c r="H903" t="s">
        <v>78</v>
      </c>
      <c r="I903" t="s">
        <v>79</v>
      </c>
      <c r="J903" s="3">
        <v>43279</v>
      </c>
      <c r="K903">
        <v>7.5</v>
      </c>
      <c r="L903">
        <v>40</v>
      </c>
      <c r="M903" s="4">
        <v>8300</v>
      </c>
      <c r="N903" s="4">
        <v>120884</v>
      </c>
      <c r="O903" t="s">
        <v>69</v>
      </c>
      <c r="P903" t="s">
        <v>68</v>
      </c>
      <c r="Q903">
        <v>3.59</v>
      </c>
      <c r="R903">
        <v>54</v>
      </c>
      <c r="S903">
        <v>0</v>
      </c>
      <c r="T903" t="s">
        <v>69</v>
      </c>
      <c r="U903">
        <v>3</v>
      </c>
      <c r="V903">
        <v>13</v>
      </c>
      <c r="W903" t="s">
        <v>69</v>
      </c>
      <c r="X903" t="s">
        <v>69</v>
      </c>
      <c r="Y903" t="s">
        <v>71</v>
      </c>
      <c r="Z903" t="s">
        <v>74</v>
      </c>
    </row>
    <row r="904" spans="1:26" x14ac:dyDescent="0.2">
      <c r="A904" t="s">
        <v>1650</v>
      </c>
      <c r="B904" t="s">
        <v>588</v>
      </c>
      <c r="C904" t="s">
        <v>108</v>
      </c>
      <c r="D904" t="s">
        <v>222</v>
      </c>
      <c r="E904" t="s">
        <v>223</v>
      </c>
      <c r="F904" t="s">
        <v>92</v>
      </c>
      <c r="G904" t="s">
        <v>227</v>
      </c>
      <c r="H904" t="s">
        <v>66</v>
      </c>
      <c r="I904" t="s">
        <v>111</v>
      </c>
      <c r="J904" s="3">
        <v>43805</v>
      </c>
      <c r="K904">
        <v>6.1</v>
      </c>
      <c r="L904">
        <v>41</v>
      </c>
      <c r="M904" s="4">
        <v>4300</v>
      </c>
      <c r="N904" s="4">
        <v>65289</v>
      </c>
      <c r="O904" t="s">
        <v>68</v>
      </c>
      <c r="P904" t="s">
        <v>69</v>
      </c>
      <c r="Q904">
        <v>2.76</v>
      </c>
      <c r="R904">
        <v>62</v>
      </c>
      <c r="S904">
        <v>38</v>
      </c>
      <c r="T904" t="s">
        <v>69</v>
      </c>
      <c r="U904">
        <v>7</v>
      </c>
      <c r="V904">
        <v>16</v>
      </c>
      <c r="W904" t="s">
        <v>70</v>
      </c>
      <c r="X904" t="s">
        <v>68</v>
      </c>
      <c r="Y904" t="s">
        <v>86</v>
      </c>
      <c r="Z904" t="s">
        <v>108</v>
      </c>
    </row>
    <row r="905" spans="1:26" x14ac:dyDescent="0.2">
      <c r="A905" t="s">
        <v>1651</v>
      </c>
      <c r="B905" t="s">
        <v>824</v>
      </c>
      <c r="C905" t="s">
        <v>89</v>
      </c>
      <c r="D905" t="s">
        <v>90</v>
      </c>
      <c r="E905" t="s">
        <v>187</v>
      </c>
      <c r="F905" t="s">
        <v>120</v>
      </c>
      <c r="G905" t="s">
        <v>85</v>
      </c>
      <c r="H905" t="s">
        <v>66</v>
      </c>
      <c r="I905" t="s">
        <v>93</v>
      </c>
      <c r="J905" s="3">
        <v>45902</v>
      </c>
      <c r="K905">
        <v>0.3</v>
      </c>
      <c r="L905">
        <v>32</v>
      </c>
      <c r="M905" s="4">
        <v>8700</v>
      </c>
      <c r="N905" s="4">
        <v>129217</v>
      </c>
      <c r="O905" t="s">
        <v>68</v>
      </c>
      <c r="P905" t="s">
        <v>69</v>
      </c>
      <c r="Q905">
        <v>2.5499999999999998</v>
      </c>
      <c r="R905">
        <v>60</v>
      </c>
      <c r="S905">
        <v>42</v>
      </c>
      <c r="T905" t="s">
        <v>69</v>
      </c>
      <c r="U905">
        <v>3</v>
      </c>
      <c r="V905">
        <v>0</v>
      </c>
      <c r="W905" t="s">
        <v>70</v>
      </c>
      <c r="X905" t="s">
        <v>68</v>
      </c>
      <c r="Y905" t="s">
        <v>71</v>
      </c>
      <c r="Z905" t="s">
        <v>89</v>
      </c>
    </row>
    <row r="906" spans="1:26" x14ac:dyDescent="0.2">
      <c r="A906" t="s">
        <v>1652</v>
      </c>
      <c r="B906" t="s">
        <v>1025</v>
      </c>
      <c r="C906" t="s">
        <v>89</v>
      </c>
      <c r="D906" t="s">
        <v>239</v>
      </c>
      <c r="E906" t="s">
        <v>580</v>
      </c>
      <c r="F906" t="s">
        <v>77</v>
      </c>
      <c r="G906" t="s">
        <v>227</v>
      </c>
      <c r="H906" t="s">
        <v>78</v>
      </c>
      <c r="I906" t="s">
        <v>99</v>
      </c>
      <c r="J906" s="3">
        <v>44115</v>
      </c>
      <c r="K906">
        <v>5.2</v>
      </c>
      <c r="L906">
        <v>60</v>
      </c>
      <c r="M906" s="4">
        <v>10200</v>
      </c>
      <c r="N906" s="4">
        <v>167706</v>
      </c>
      <c r="O906" t="s">
        <v>68</v>
      </c>
      <c r="P906" t="s">
        <v>69</v>
      </c>
      <c r="Q906">
        <v>3.11</v>
      </c>
      <c r="R906">
        <v>55</v>
      </c>
      <c r="S906">
        <v>31</v>
      </c>
      <c r="T906" t="s">
        <v>69</v>
      </c>
      <c r="U906">
        <v>4</v>
      </c>
      <c r="V906">
        <v>27</v>
      </c>
      <c r="W906" t="s">
        <v>70</v>
      </c>
      <c r="X906" t="s">
        <v>68</v>
      </c>
      <c r="Y906" t="s">
        <v>86</v>
      </c>
      <c r="Z906" t="s">
        <v>89</v>
      </c>
    </row>
    <row r="907" spans="1:26" x14ac:dyDescent="0.2">
      <c r="A907" t="s">
        <v>1653</v>
      </c>
      <c r="B907" t="s">
        <v>186</v>
      </c>
      <c r="C907" t="s">
        <v>96</v>
      </c>
      <c r="D907" t="s">
        <v>234</v>
      </c>
      <c r="E907" t="s">
        <v>408</v>
      </c>
      <c r="F907" t="s">
        <v>120</v>
      </c>
      <c r="G907" t="s">
        <v>65</v>
      </c>
      <c r="H907" t="s">
        <v>78</v>
      </c>
      <c r="I907" t="s">
        <v>67</v>
      </c>
      <c r="J907" s="3">
        <v>42401</v>
      </c>
      <c r="K907">
        <v>9.9</v>
      </c>
      <c r="L907">
        <v>39</v>
      </c>
      <c r="M907" s="4">
        <v>9400</v>
      </c>
      <c r="N907" s="4">
        <v>149444</v>
      </c>
      <c r="O907" t="s">
        <v>68</v>
      </c>
      <c r="P907" t="s">
        <v>69</v>
      </c>
      <c r="Q907">
        <v>3.32</v>
      </c>
      <c r="R907">
        <v>61</v>
      </c>
      <c r="S907">
        <v>21</v>
      </c>
      <c r="T907" t="s">
        <v>69</v>
      </c>
      <c r="U907">
        <v>9</v>
      </c>
      <c r="V907">
        <v>0</v>
      </c>
      <c r="W907" t="s">
        <v>70</v>
      </c>
      <c r="X907" t="s">
        <v>68</v>
      </c>
      <c r="Y907" t="s">
        <v>71</v>
      </c>
      <c r="Z907" t="s">
        <v>96</v>
      </c>
    </row>
    <row r="908" spans="1:26" x14ac:dyDescent="0.2">
      <c r="A908" t="s">
        <v>1654</v>
      </c>
      <c r="B908" t="s">
        <v>107</v>
      </c>
      <c r="C908" t="s">
        <v>96</v>
      </c>
      <c r="D908" t="s">
        <v>129</v>
      </c>
      <c r="E908" t="s">
        <v>130</v>
      </c>
      <c r="F908" t="s">
        <v>120</v>
      </c>
      <c r="G908" t="s">
        <v>65</v>
      </c>
      <c r="H908" t="s">
        <v>78</v>
      </c>
      <c r="I908" t="s">
        <v>148</v>
      </c>
      <c r="J908" s="3">
        <v>44840</v>
      </c>
      <c r="K908">
        <v>3.2</v>
      </c>
      <c r="L908">
        <v>32</v>
      </c>
      <c r="M908" s="4">
        <v>10500</v>
      </c>
      <c r="N908" s="4">
        <v>158668</v>
      </c>
      <c r="O908" t="s">
        <v>68</v>
      </c>
      <c r="P908" t="s">
        <v>69</v>
      </c>
      <c r="Q908">
        <v>3.54</v>
      </c>
      <c r="R908">
        <v>96</v>
      </c>
      <c r="S908">
        <v>53</v>
      </c>
      <c r="T908" t="s">
        <v>69</v>
      </c>
      <c r="U908">
        <v>0</v>
      </c>
      <c r="V908">
        <v>31</v>
      </c>
      <c r="W908" t="s">
        <v>70</v>
      </c>
      <c r="X908" t="s">
        <v>69</v>
      </c>
      <c r="Y908" t="s">
        <v>71</v>
      </c>
      <c r="Z908" t="s">
        <v>96</v>
      </c>
    </row>
    <row r="909" spans="1:26" x14ac:dyDescent="0.2">
      <c r="A909" t="s">
        <v>1655</v>
      </c>
      <c r="B909" t="s">
        <v>257</v>
      </c>
      <c r="C909" t="s">
        <v>61</v>
      </c>
      <c r="D909" t="s">
        <v>604</v>
      </c>
      <c r="E909" t="s">
        <v>991</v>
      </c>
      <c r="F909" t="s">
        <v>92</v>
      </c>
      <c r="G909" t="s">
        <v>65</v>
      </c>
      <c r="H909" t="s">
        <v>66</v>
      </c>
      <c r="I909" t="s">
        <v>93</v>
      </c>
      <c r="J909" s="3">
        <v>43260</v>
      </c>
      <c r="K909">
        <v>7.6</v>
      </c>
      <c r="L909">
        <v>49</v>
      </c>
      <c r="M909" s="4">
        <v>4100</v>
      </c>
      <c r="N909" s="4">
        <v>65477</v>
      </c>
      <c r="O909" t="s">
        <v>68</v>
      </c>
      <c r="P909" t="s">
        <v>69</v>
      </c>
      <c r="Q909">
        <v>2.66</v>
      </c>
      <c r="R909">
        <v>68</v>
      </c>
      <c r="S909">
        <v>23</v>
      </c>
      <c r="T909" t="s">
        <v>69</v>
      </c>
      <c r="U909">
        <v>5</v>
      </c>
      <c r="V909">
        <v>25</v>
      </c>
      <c r="W909" t="s">
        <v>70</v>
      </c>
      <c r="X909" t="s">
        <v>68</v>
      </c>
      <c r="Y909" t="s">
        <v>71</v>
      </c>
      <c r="Z909" t="s">
        <v>61</v>
      </c>
    </row>
    <row r="910" spans="1:26" x14ac:dyDescent="0.2">
      <c r="A910" t="s">
        <v>1656</v>
      </c>
      <c r="B910" t="s">
        <v>1048</v>
      </c>
      <c r="C910" t="s">
        <v>133</v>
      </c>
      <c r="D910" t="s">
        <v>15</v>
      </c>
      <c r="E910" t="s">
        <v>1315</v>
      </c>
      <c r="F910" t="s">
        <v>84</v>
      </c>
      <c r="G910" t="s">
        <v>85</v>
      </c>
      <c r="H910" t="s">
        <v>66</v>
      </c>
      <c r="I910" t="s">
        <v>115</v>
      </c>
      <c r="J910" s="3">
        <v>44510</v>
      </c>
      <c r="K910">
        <v>4.0999999999999996</v>
      </c>
      <c r="L910">
        <v>38</v>
      </c>
      <c r="M910" s="4">
        <v>17800</v>
      </c>
      <c r="N910" s="4">
        <v>257609</v>
      </c>
      <c r="O910" t="s">
        <v>69</v>
      </c>
      <c r="P910" t="s">
        <v>68</v>
      </c>
      <c r="Q910">
        <v>2.98</v>
      </c>
      <c r="R910">
        <v>62</v>
      </c>
      <c r="S910">
        <v>47</v>
      </c>
      <c r="T910" t="s">
        <v>69</v>
      </c>
      <c r="U910">
        <v>6</v>
      </c>
      <c r="V910">
        <v>23</v>
      </c>
      <c r="W910" t="s">
        <v>68</v>
      </c>
      <c r="X910" t="s">
        <v>68</v>
      </c>
      <c r="Y910" t="s">
        <v>71</v>
      </c>
      <c r="Z910" t="s">
        <v>133</v>
      </c>
    </row>
    <row r="911" spans="1:26" x14ac:dyDescent="0.2">
      <c r="A911" t="s">
        <v>1657</v>
      </c>
      <c r="B911" t="s">
        <v>1016</v>
      </c>
      <c r="C911" t="s">
        <v>89</v>
      </c>
      <c r="D911" t="s">
        <v>154</v>
      </c>
      <c r="E911" t="s">
        <v>689</v>
      </c>
      <c r="F911" t="s">
        <v>136</v>
      </c>
      <c r="G911" t="s">
        <v>65</v>
      </c>
      <c r="H911" t="s">
        <v>78</v>
      </c>
      <c r="I911" t="s">
        <v>67</v>
      </c>
      <c r="J911" s="3">
        <v>44877</v>
      </c>
      <c r="K911">
        <v>3.1</v>
      </c>
      <c r="L911">
        <v>37</v>
      </c>
      <c r="M911" s="4">
        <v>17500</v>
      </c>
      <c r="N911" s="4">
        <v>283211</v>
      </c>
      <c r="O911" t="s">
        <v>69</v>
      </c>
      <c r="P911" t="s">
        <v>69</v>
      </c>
      <c r="Q911">
        <v>2.66</v>
      </c>
      <c r="R911">
        <v>65</v>
      </c>
      <c r="S911">
        <v>11</v>
      </c>
      <c r="T911" t="s">
        <v>69</v>
      </c>
      <c r="U911">
        <v>7</v>
      </c>
      <c r="V911">
        <v>42</v>
      </c>
      <c r="W911" t="s">
        <v>68</v>
      </c>
      <c r="X911" t="s">
        <v>68</v>
      </c>
      <c r="Y911" t="s">
        <v>71</v>
      </c>
      <c r="Z911" t="s">
        <v>89</v>
      </c>
    </row>
    <row r="912" spans="1:26" x14ac:dyDescent="0.2">
      <c r="A912" t="s">
        <v>1658</v>
      </c>
      <c r="B912" t="s">
        <v>295</v>
      </c>
      <c r="C912" t="s">
        <v>108</v>
      </c>
      <c r="D912" t="s">
        <v>222</v>
      </c>
      <c r="E912" t="s">
        <v>693</v>
      </c>
      <c r="F912" t="s">
        <v>64</v>
      </c>
      <c r="G912" t="s">
        <v>85</v>
      </c>
      <c r="H912" t="s">
        <v>78</v>
      </c>
      <c r="I912" t="s">
        <v>111</v>
      </c>
      <c r="J912" s="3">
        <v>43255</v>
      </c>
      <c r="K912">
        <v>7.6</v>
      </c>
      <c r="L912">
        <v>44</v>
      </c>
      <c r="M912" s="4">
        <v>7000</v>
      </c>
      <c r="N912" s="4">
        <v>106779</v>
      </c>
      <c r="O912" t="s">
        <v>68</v>
      </c>
      <c r="P912" t="s">
        <v>69</v>
      </c>
      <c r="Q912">
        <v>3.6</v>
      </c>
      <c r="R912">
        <v>71</v>
      </c>
      <c r="S912">
        <v>31</v>
      </c>
      <c r="T912" t="s">
        <v>69</v>
      </c>
      <c r="U912">
        <v>10</v>
      </c>
      <c r="V912">
        <v>29</v>
      </c>
      <c r="W912" t="s">
        <v>70</v>
      </c>
      <c r="X912" t="s">
        <v>69</v>
      </c>
      <c r="Y912" t="s">
        <v>71</v>
      </c>
      <c r="Z912" t="s">
        <v>108</v>
      </c>
    </row>
    <row r="913" spans="1:26" x14ac:dyDescent="0.2">
      <c r="A913" t="s">
        <v>1659</v>
      </c>
      <c r="B913" t="s">
        <v>582</v>
      </c>
      <c r="C913" t="s">
        <v>133</v>
      </c>
      <c r="D913" t="s">
        <v>134</v>
      </c>
      <c r="E913" t="s">
        <v>1660</v>
      </c>
      <c r="F913" t="s">
        <v>120</v>
      </c>
      <c r="G913" t="s">
        <v>65</v>
      </c>
      <c r="H913" t="s">
        <v>78</v>
      </c>
      <c r="I913" t="s">
        <v>99</v>
      </c>
      <c r="J913" s="3">
        <v>44601</v>
      </c>
      <c r="K913">
        <v>3.9</v>
      </c>
      <c r="L913">
        <v>46</v>
      </c>
      <c r="M913" s="4">
        <v>8400</v>
      </c>
      <c r="N913" s="4">
        <v>138764</v>
      </c>
      <c r="O913" t="s">
        <v>68</v>
      </c>
      <c r="P913" t="s">
        <v>68</v>
      </c>
      <c r="Q913">
        <v>2.81</v>
      </c>
      <c r="R913">
        <v>69</v>
      </c>
      <c r="S913">
        <v>14</v>
      </c>
      <c r="T913" t="s">
        <v>69</v>
      </c>
      <c r="U913">
        <v>4</v>
      </c>
      <c r="V913">
        <v>23</v>
      </c>
      <c r="W913" t="s">
        <v>70</v>
      </c>
      <c r="X913" t="s">
        <v>68</v>
      </c>
      <c r="Y913" t="s">
        <v>71</v>
      </c>
      <c r="Z913" t="s">
        <v>133</v>
      </c>
    </row>
    <row r="914" spans="1:26" x14ac:dyDescent="0.2">
      <c r="A914" t="s">
        <v>1661</v>
      </c>
      <c r="B914" t="s">
        <v>738</v>
      </c>
      <c r="C914" t="s">
        <v>102</v>
      </c>
      <c r="D914" t="s">
        <v>166</v>
      </c>
      <c r="E914" t="s">
        <v>495</v>
      </c>
      <c r="F914" t="s">
        <v>174</v>
      </c>
      <c r="G914" t="s">
        <v>65</v>
      </c>
      <c r="H914" t="s">
        <v>78</v>
      </c>
      <c r="I914" t="s">
        <v>121</v>
      </c>
      <c r="J914" s="3">
        <v>41573</v>
      </c>
      <c r="K914">
        <v>12.2</v>
      </c>
      <c r="L914">
        <v>35</v>
      </c>
      <c r="M914" s="4">
        <v>27500</v>
      </c>
      <c r="N914" s="4">
        <v>405627</v>
      </c>
      <c r="O914" t="s">
        <v>69</v>
      </c>
      <c r="P914" t="s">
        <v>69</v>
      </c>
      <c r="Q914">
        <v>3.13</v>
      </c>
      <c r="R914">
        <v>67</v>
      </c>
      <c r="S914">
        <v>30</v>
      </c>
      <c r="T914" t="s">
        <v>69</v>
      </c>
      <c r="U914">
        <v>2</v>
      </c>
      <c r="V914">
        <v>45</v>
      </c>
      <c r="W914" t="s">
        <v>69</v>
      </c>
      <c r="X914" t="s">
        <v>68</v>
      </c>
      <c r="Y914" t="s">
        <v>71</v>
      </c>
      <c r="Z914" t="s">
        <v>102</v>
      </c>
    </row>
    <row r="915" spans="1:26" x14ac:dyDescent="0.2">
      <c r="A915" t="s">
        <v>1662</v>
      </c>
      <c r="B915" t="s">
        <v>1663</v>
      </c>
      <c r="C915" t="s">
        <v>102</v>
      </c>
      <c r="D915" t="s">
        <v>339</v>
      </c>
      <c r="E915" t="s">
        <v>523</v>
      </c>
      <c r="F915" t="s">
        <v>136</v>
      </c>
      <c r="G915" t="s">
        <v>65</v>
      </c>
      <c r="H915" t="s">
        <v>66</v>
      </c>
      <c r="I915" t="s">
        <v>121</v>
      </c>
      <c r="J915" s="3">
        <v>45301</v>
      </c>
      <c r="K915">
        <v>2</v>
      </c>
      <c r="L915">
        <v>54</v>
      </c>
      <c r="M915" s="4">
        <v>11200</v>
      </c>
      <c r="N915" s="4">
        <v>182054</v>
      </c>
      <c r="O915" t="s">
        <v>68</v>
      </c>
      <c r="P915" t="s">
        <v>69</v>
      </c>
      <c r="Q915">
        <v>2.33</v>
      </c>
      <c r="R915">
        <v>57</v>
      </c>
      <c r="S915">
        <v>22</v>
      </c>
      <c r="T915" t="s">
        <v>69</v>
      </c>
      <c r="U915">
        <v>1</v>
      </c>
      <c r="V915">
        <v>29</v>
      </c>
      <c r="W915" t="s">
        <v>70</v>
      </c>
      <c r="X915" t="s">
        <v>68</v>
      </c>
      <c r="Y915" t="s">
        <v>86</v>
      </c>
      <c r="Z915" t="s">
        <v>102</v>
      </c>
    </row>
    <row r="916" spans="1:26" x14ac:dyDescent="0.2">
      <c r="A916" t="s">
        <v>1664</v>
      </c>
      <c r="B916" t="s">
        <v>770</v>
      </c>
      <c r="C916" t="s">
        <v>61</v>
      </c>
      <c r="D916" t="s">
        <v>62</v>
      </c>
      <c r="E916" t="s">
        <v>643</v>
      </c>
      <c r="F916" t="s">
        <v>84</v>
      </c>
      <c r="G916" t="s">
        <v>65</v>
      </c>
      <c r="H916" t="s">
        <v>78</v>
      </c>
      <c r="I916" t="s">
        <v>67</v>
      </c>
      <c r="J916" s="3">
        <v>42942</v>
      </c>
      <c r="K916">
        <v>8.4</v>
      </c>
      <c r="L916">
        <v>32</v>
      </c>
      <c r="M916" s="4">
        <v>23800</v>
      </c>
      <c r="N916" s="4">
        <v>388176</v>
      </c>
      <c r="O916" t="s">
        <v>69</v>
      </c>
      <c r="P916" t="s">
        <v>68</v>
      </c>
      <c r="Q916">
        <v>3.41</v>
      </c>
      <c r="R916">
        <v>86</v>
      </c>
      <c r="S916">
        <v>45</v>
      </c>
      <c r="T916" t="s">
        <v>69</v>
      </c>
      <c r="U916">
        <v>2</v>
      </c>
      <c r="V916">
        <v>25</v>
      </c>
      <c r="W916" t="s">
        <v>68</v>
      </c>
      <c r="X916" t="s">
        <v>68</v>
      </c>
      <c r="Y916" t="s">
        <v>71</v>
      </c>
      <c r="Z916" t="s">
        <v>61</v>
      </c>
    </row>
    <row r="917" spans="1:26" x14ac:dyDescent="0.2">
      <c r="A917" t="s">
        <v>1665</v>
      </c>
      <c r="B917" t="s">
        <v>471</v>
      </c>
      <c r="C917" t="s">
        <v>74</v>
      </c>
      <c r="D917" t="s">
        <v>313</v>
      </c>
      <c r="E917" t="s">
        <v>427</v>
      </c>
      <c r="F917" t="s">
        <v>77</v>
      </c>
      <c r="G917" t="s">
        <v>215</v>
      </c>
      <c r="H917" t="s">
        <v>66</v>
      </c>
      <c r="I917" t="s">
        <v>67</v>
      </c>
      <c r="J917" s="3">
        <v>45331</v>
      </c>
      <c r="K917">
        <v>1.9</v>
      </c>
      <c r="L917">
        <v>40</v>
      </c>
      <c r="M917" s="4">
        <v>8600</v>
      </c>
      <c r="N917" s="4">
        <v>132272</v>
      </c>
      <c r="O917" t="s">
        <v>68</v>
      </c>
      <c r="P917" t="s">
        <v>68</v>
      </c>
      <c r="Q917">
        <v>3</v>
      </c>
      <c r="R917">
        <v>46</v>
      </c>
      <c r="S917">
        <v>19</v>
      </c>
      <c r="T917" t="s">
        <v>69</v>
      </c>
      <c r="U917">
        <v>5</v>
      </c>
      <c r="V917">
        <v>18</v>
      </c>
      <c r="W917" t="s">
        <v>70</v>
      </c>
      <c r="X917" t="s">
        <v>68</v>
      </c>
      <c r="Y917" t="s">
        <v>86</v>
      </c>
      <c r="Z917" t="s">
        <v>74</v>
      </c>
    </row>
    <row r="918" spans="1:26" x14ac:dyDescent="0.2">
      <c r="A918" t="s">
        <v>1666</v>
      </c>
      <c r="B918" t="s">
        <v>649</v>
      </c>
      <c r="C918" t="s">
        <v>102</v>
      </c>
      <c r="D918" t="s">
        <v>103</v>
      </c>
      <c r="E918" t="s">
        <v>104</v>
      </c>
      <c r="F918" t="s">
        <v>92</v>
      </c>
      <c r="G918" t="s">
        <v>85</v>
      </c>
      <c r="H918" t="s">
        <v>78</v>
      </c>
      <c r="I918" t="s">
        <v>67</v>
      </c>
      <c r="J918" s="3">
        <v>41124</v>
      </c>
      <c r="K918">
        <v>13.4</v>
      </c>
      <c r="L918">
        <v>44</v>
      </c>
      <c r="M918" s="4">
        <v>5000</v>
      </c>
      <c r="N918" s="4">
        <v>77974</v>
      </c>
      <c r="O918" t="s">
        <v>68</v>
      </c>
      <c r="P918" t="s">
        <v>69</v>
      </c>
      <c r="Q918">
        <v>2.0699999999999998</v>
      </c>
      <c r="R918">
        <v>46</v>
      </c>
      <c r="S918">
        <v>35</v>
      </c>
      <c r="T918" t="s">
        <v>69</v>
      </c>
      <c r="U918">
        <v>4</v>
      </c>
      <c r="V918">
        <v>64</v>
      </c>
      <c r="W918" t="s">
        <v>70</v>
      </c>
      <c r="X918" t="s">
        <v>68</v>
      </c>
      <c r="Y918" t="s">
        <v>366</v>
      </c>
      <c r="Z918" t="s">
        <v>102</v>
      </c>
    </row>
    <row r="919" spans="1:26" x14ac:dyDescent="0.2">
      <c r="A919" t="s">
        <v>1667</v>
      </c>
      <c r="B919" t="s">
        <v>558</v>
      </c>
      <c r="C919" t="s">
        <v>96</v>
      </c>
      <c r="D919" t="s">
        <v>97</v>
      </c>
      <c r="E919" t="s">
        <v>1668</v>
      </c>
      <c r="F919" t="s">
        <v>191</v>
      </c>
      <c r="G919" t="s">
        <v>65</v>
      </c>
      <c r="H919" t="s">
        <v>66</v>
      </c>
      <c r="I919" t="s">
        <v>93</v>
      </c>
      <c r="J919" s="3">
        <v>43306</v>
      </c>
      <c r="K919">
        <v>7.4</v>
      </c>
      <c r="L919">
        <v>46</v>
      </c>
      <c r="M919" s="4">
        <v>41900</v>
      </c>
      <c r="N919" s="4">
        <v>604124</v>
      </c>
      <c r="O919" t="s">
        <v>69</v>
      </c>
      <c r="P919" t="s">
        <v>69</v>
      </c>
      <c r="Q919">
        <v>4</v>
      </c>
      <c r="R919">
        <v>84</v>
      </c>
      <c r="S919">
        <v>23</v>
      </c>
      <c r="T919" t="s">
        <v>69</v>
      </c>
      <c r="U919">
        <v>9</v>
      </c>
      <c r="V919">
        <v>48</v>
      </c>
      <c r="W919" t="s">
        <v>69</v>
      </c>
      <c r="X919" t="s">
        <v>69</v>
      </c>
      <c r="Y919" t="s">
        <v>71</v>
      </c>
      <c r="Z919" t="s">
        <v>96</v>
      </c>
    </row>
    <row r="920" spans="1:26" x14ac:dyDescent="0.2">
      <c r="A920" t="s">
        <v>1669</v>
      </c>
      <c r="B920" t="s">
        <v>309</v>
      </c>
      <c r="C920" t="s">
        <v>74</v>
      </c>
      <c r="D920" t="s">
        <v>139</v>
      </c>
      <c r="E920" t="s">
        <v>709</v>
      </c>
      <c r="F920" t="s">
        <v>77</v>
      </c>
      <c r="G920" t="s">
        <v>65</v>
      </c>
      <c r="H920" t="s">
        <v>78</v>
      </c>
      <c r="I920" t="s">
        <v>99</v>
      </c>
      <c r="J920" s="3">
        <v>42598</v>
      </c>
      <c r="K920">
        <v>9.4</v>
      </c>
      <c r="L920">
        <v>49</v>
      </c>
      <c r="M920" s="4">
        <v>12700</v>
      </c>
      <c r="N920" s="4">
        <v>205404</v>
      </c>
      <c r="O920" t="s">
        <v>69</v>
      </c>
      <c r="P920" t="s">
        <v>68</v>
      </c>
      <c r="Q920">
        <v>2.98</v>
      </c>
      <c r="R920">
        <v>53</v>
      </c>
      <c r="S920">
        <v>22</v>
      </c>
      <c r="T920" t="s">
        <v>69</v>
      </c>
      <c r="U920">
        <v>7</v>
      </c>
      <c r="V920">
        <v>26</v>
      </c>
      <c r="W920" t="s">
        <v>68</v>
      </c>
      <c r="X920" t="s">
        <v>68</v>
      </c>
      <c r="Y920" t="s">
        <v>86</v>
      </c>
      <c r="Z920" t="s">
        <v>74</v>
      </c>
    </row>
    <row r="921" spans="1:26" x14ac:dyDescent="0.2">
      <c r="A921" t="s">
        <v>1670</v>
      </c>
      <c r="B921" t="s">
        <v>757</v>
      </c>
      <c r="C921" t="s">
        <v>12</v>
      </c>
      <c r="D921" t="s">
        <v>421</v>
      </c>
      <c r="E921" t="s">
        <v>492</v>
      </c>
      <c r="F921" t="s">
        <v>120</v>
      </c>
      <c r="G921" t="s">
        <v>65</v>
      </c>
      <c r="H921" t="s">
        <v>66</v>
      </c>
      <c r="I921" t="s">
        <v>99</v>
      </c>
      <c r="J921" s="3">
        <v>44773</v>
      </c>
      <c r="K921">
        <v>3.4</v>
      </c>
      <c r="L921">
        <v>40</v>
      </c>
      <c r="M921" s="4">
        <v>9800</v>
      </c>
      <c r="N921" s="4">
        <v>146195</v>
      </c>
      <c r="O921" t="s">
        <v>68</v>
      </c>
      <c r="P921" t="s">
        <v>68</v>
      </c>
      <c r="Q921">
        <v>2.88</v>
      </c>
      <c r="R921">
        <v>62</v>
      </c>
      <c r="S921">
        <v>17</v>
      </c>
      <c r="T921" t="s">
        <v>69</v>
      </c>
      <c r="U921">
        <v>2</v>
      </c>
      <c r="V921">
        <v>30</v>
      </c>
      <c r="W921" t="s">
        <v>70</v>
      </c>
      <c r="X921" t="s">
        <v>68</v>
      </c>
      <c r="Y921" t="s">
        <v>71</v>
      </c>
      <c r="Z921" t="s">
        <v>12</v>
      </c>
    </row>
    <row r="922" spans="1:26" x14ac:dyDescent="0.2">
      <c r="A922" t="s">
        <v>1671</v>
      </c>
      <c r="B922" t="s">
        <v>764</v>
      </c>
      <c r="C922" t="s">
        <v>74</v>
      </c>
      <c r="D922" t="s">
        <v>313</v>
      </c>
      <c r="E922" t="s">
        <v>609</v>
      </c>
      <c r="F922" t="s">
        <v>92</v>
      </c>
      <c r="G922" t="s">
        <v>65</v>
      </c>
      <c r="H922" t="s">
        <v>78</v>
      </c>
      <c r="I922" t="s">
        <v>111</v>
      </c>
      <c r="J922" s="3">
        <v>44533</v>
      </c>
      <c r="K922">
        <v>4.0999999999999996</v>
      </c>
      <c r="L922">
        <v>38</v>
      </c>
      <c r="M922" s="4">
        <v>5300</v>
      </c>
      <c r="N922" s="4">
        <v>81125</v>
      </c>
      <c r="O922" t="s">
        <v>68</v>
      </c>
      <c r="P922" t="s">
        <v>68</v>
      </c>
      <c r="Q922">
        <v>3.28</v>
      </c>
      <c r="R922">
        <v>70</v>
      </c>
      <c r="S922">
        <v>8</v>
      </c>
      <c r="T922" t="s">
        <v>69</v>
      </c>
      <c r="U922">
        <v>3</v>
      </c>
      <c r="V922">
        <v>43</v>
      </c>
      <c r="W922" t="s">
        <v>70</v>
      </c>
      <c r="X922" t="s">
        <v>68</v>
      </c>
      <c r="Y922" t="s">
        <v>86</v>
      </c>
      <c r="Z922" t="s">
        <v>74</v>
      </c>
    </row>
    <row r="923" spans="1:26" x14ac:dyDescent="0.2">
      <c r="A923" t="s">
        <v>1672</v>
      </c>
      <c r="B923" t="s">
        <v>417</v>
      </c>
      <c r="C923" t="s">
        <v>124</v>
      </c>
      <c r="D923" t="s">
        <v>125</v>
      </c>
      <c r="E923" t="s">
        <v>330</v>
      </c>
      <c r="F923" t="s">
        <v>120</v>
      </c>
      <c r="G923" t="s">
        <v>65</v>
      </c>
      <c r="H923" t="s">
        <v>66</v>
      </c>
      <c r="I923" t="s">
        <v>67</v>
      </c>
      <c r="J923" s="3">
        <v>45847</v>
      </c>
      <c r="K923">
        <v>0.5</v>
      </c>
      <c r="L923">
        <v>32</v>
      </c>
      <c r="M923" s="4">
        <v>7800</v>
      </c>
      <c r="N923" s="4">
        <v>121595</v>
      </c>
      <c r="O923" t="s">
        <v>68</v>
      </c>
      <c r="P923" t="s">
        <v>68</v>
      </c>
      <c r="Q923">
        <v>3.17</v>
      </c>
      <c r="R923">
        <v>55</v>
      </c>
      <c r="S923">
        <v>36</v>
      </c>
      <c r="T923" t="s">
        <v>69</v>
      </c>
      <c r="U923">
        <v>15</v>
      </c>
      <c r="V923">
        <v>8</v>
      </c>
      <c r="W923" t="s">
        <v>70</v>
      </c>
      <c r="X923" t="s">
        <v>68</v>
      </c>
      <c r="Y923" t="s">
        <v>71</v>
      </c>
      <c r="Z923" t="s">
        <v>124</v>
      </c>
    </row>
    <row r="924" spans="1:26" x14ac:dyDescent="0.2">
      <c r="A924" t="s">
        <v>1673</v>
      </c>
      <c r="B924" t="s">
        <v>1163</v>
      </c>
      <c r="C924" t="s">
        <v>102</v>
      </c>
      <c r="D924" t="s">
        <v>166</v>
      </c>
      <c r="E924" t="s">
        <v>879</v>
      </c>
      <c r="F924" t="s">
        <v>120</v>
      </c>
      <c r="G924" t="s">
        <v>65</v>
      </c>
      <c r="H924" t="s">
        <v>78</v>
      </c>
      <c r="I924" t="s">
        <v>93</v>
      </c>
      <c r="J924" s="3">
        <v>41527</v>
      </c>
      <c r="K924">
        <v>12.3</v>
      </c>
      <c r="L924">
        <v>24</v>
      </c>
      <c r="M924" s="4">
        <v>8600</v>
      </c>
      <c r="N924" s="4">
        <v>125437</v>
      </c>
      <c r="O924" t="s">
        <v>68</v>
      </c>
      <c r="P924" t="s">
        <v>69</v>
      </c>
      <c r="Q924">
        <v>3.09</v>
      </c>
      <c r="R924">
        <v>49</v>
      </c>
      <c r="S924">
        <v>19</v>
      </c>
      <c r="T924" t="s">
        <v>69</v>
      </c>
      <c r="U924">
        <v>10</v>
      </c>
      <c r="V924">
        <v>54</v>
      </c>
      <c r="W924" t="s">
        <v>70</v>
      </c>
      <c r="X924" t="s">
        <v>68</v>
      </c>
      <c r="Y924" t="s">
        <v>86</v>
      </c>
      <c r="Z924" t="s">
        <v>102</v>
      </c>
    </row>
    <row r="925" spans="1:26" x14ac:dyDescent="0.2">
      <c r="A925" t="s">
        <v>1674</v>
      </c>
      <c r="B925" t="s">
        <v>711</v>
      </c>
      <c r="C925" t="s">
        <v>108</v>
      </c>
      <c r="D925" t="s">
        <v>222</v>
      </c>
      <c r="E925" t="s">
        <v>693</v>
      </c>
      <c r="F925" t="s">
        <v>64</v>
      </c>
      <c r="G925" t="s">
        <v>65</v>
      </c>
      <c r="H925" t="s">
        <v>66</v>
      </c>
      <c r="I925" t="s">
        <v>236</v>
      </c>
      <c r="J925" s="3">
        <v>45222</v>
      </c>
      <c r="K925">
        <v>2.2000000000000002</v>
      </c>
      <c r="L925">
        <v>36</v>
      </c>
      <c r="M925" s="4">
        <v>6000</v>
      </c>
      <c r="N925" s="4">
        <v>90018</v>
      </c>
      <c r="O925" t="s">
        <v>68</v>
      </c>
      <c r="P925" t="s">
        <v>69</v>
      </c>
      <c r="Q925">
        <v>2.98</v>
      </c>
      <c r="R925">
        <v>56</v>
      </c>
      <c r="S925">
        <v>25</v>
      </c>
      <c r="T925" t="s">
        <v>69</v>
      </c>
      <c r="U925">
        <v>4</v>
      </c>
      <c r="V925">
        <v>59</v>
      </c>
      <c r="W925" t="s">
        <v>70</v>
      </c>
      <c r="X925" t="s">
        <v>68</v>
      </c>
      <c r="Y925" t="s">
        <v>86</v>
      </c>
      <c r="Z925" t="s">
        <v>108</v>
      </c>
    </row>
    <row r="926" spans="1:26" x14ac:dyDescent="0.2">
      <c r="A926" t="s">
        <v>1675</v>
      </c>
      <c r="B926" t="s">
        <v>368</v>
      </c>
      <c r="C926" t="s">
        <v>143</v>
      </c>
      <c r="D926" t="s">
        <v>144</v>
      </c>
      <c r="E926" t="s">
        <v>226</v>
      </c>
      <c r="F926" t="s">
        <v>174</v>
      </c>
      <c r="G926" t="s">
        <v>65</v>
      </c>
      <c r="H926" t="s">
        <v>78</v>
      </c>
      <c r="I926" t="s">
        <v>67</v>
      </c>
      <c r="J926" s="3">
        <v>44746</v>
      </c>
      <c r="K926">
        <v>3.5</v>
      </c>
      <c r="L926">
        <v>51</v>
      </c>
      <c r="M926" s="4">
        <v>30400</v>
      </c>
      <c r="N926" s="4">
        <v>465010</v>
      </c>
      <c r="O926" t="s">
        <v>69</v>
      </c>
      <c r="P926" t="s">
        <v>69</v>
      </c>
      <c r="Q926">
        <v>3.39</v>
      </c>
      <c r="R926">
        <v>58</v>
      </c>
      <c r="S926">
        <v>54</v>
      </c>
      <c r="T926" t="s">
        <v>69</v>
      </c>
      <c r="U926">
        <v>7</v>
      </c>
      <c r="V926">
        <v>0</v>
      </c>
      <c r="W926" t="s">
        <v>68</v>
      </c>
      <c r="X926" t="s">
        <v>68</v>
      </c>
      <c r="Y926" t="s">
        <v>71</v>
      </c>
      <c r="Z926" t="s">
        <v>143</v>
      </c>
    </row>
    <row r="927" spans="1:26" x14ac:dyDescent="0.2">
      <c r="A927" t="s">
        <v>1676</v>
      </c>
      <c r="B927" t="s">
        <v>186</v>
      </c>
      <c r="C927" t="s">
        <v>89</v>
      </c>
      <c r="D927" t="s">
        <v>230</v>
      </c>
      <c r="E927" t="s">
        <v>979</v>
      </c>
      <c r="F927" t="s">
        <v>136</v>
      </c>
      <c r="G927" t="s">
        <v>65</v>
      </c>
      <c r="H927" t="s">
        <v>66</v>
      </c>
      <c r="I927" t="s">
        <v>93</v>
      </c>
      <c r="J927" s="3">
        <v>44097</v>
      </c>
      <c r="K927">
        <v>5.3</v>
      </c>
      <c r="L927">
        <v>57</v>
      </c>
      <c r="M927" s="4">
        <v>10700</v>
      </c>
      <c r="N927" s="4">
        <v>156639</v>
      </c>
      <c r="O927" t="s">
        <v>68</v>
      </c>
      <c r="P927" t="s">
        <v>69</v>
      </c>
      <c r="Q927">
        <v>3.31</v>
      </c>
      <c r="R927">
        <v>60</v>
      </c>
      <c r="S927">
        <v>29</v>
      </c>
      <c r="T927" t="s">
        <v>69</v>
      </c>
      <c r="U927">
        <v>4</v>
      </c>
      <c r="V927">
        <v>0</v>
      </c>
      <c r="W927" t="s">
        <v>70</v>
      </c>
      <c r="X927" t="s">
        <v>68</v>
      </c>
      <c r="Y927" t="s">
        <v>71</v>
      </c>
      <c r="Z927" t="s">
        <v>89</v>
      </c>
    </row>
    <row r="928" spans="1:26" x14ac:dyDescent="0.2">
      <c r="A928" t="s">
        <v>1677</v>
      </c>
      <c r="B928" t="s">
        <v>1005</v>
      </c>
      <c r="C928" t="s">
        <v>102</v>
      </c>
      <c r="D928" t="s">
        <v>103</v>
      </c>
      <c r="E928" t="s">
        <v>458</v>
      </c>
      <c r="F928" t="s">
        <v>77</v>
      </c>
      <c r="G928" t="s">
        <v>65</v>
      </c>
      <c r="H928" t="s">
        <v>66</v>
      </c>
      <c r="I928" t="s">
        <v>99</v>
      </c>
      <c r="J928" s="3">
        <v>44044</v>
      </c>
      <c r="K928">
        <v>5.4</v>
      </c>
      <c r="L928">
        <v>25</v>
      </c>
      <c r="M928" s="4">
        <v>10400</v>
      </c>
      <c r="N928" s="4">
        <v>162329</v>
      </c>
      <c r="O928" t="s">
        <v>68</v>
      </c>
      <c r="P928" t="s">
        <v>69</v>
      </c>
      <c r="Q928">
        <v>3.82</v>
      </c>
      <c r="R928">
        <v>76</v>
      </c>
      <c r="S928">
        <v>9</v>
      </c>
      <c r="T928" t="s">
        <v>69</v>
      </c>
      <c r="U928">
        <v>4</v>
      </c>
      <c r="V928">
        <v>49</v>
      </c>
      <c r="W928" t="s">
        <v>70</v>
      </c>
      <c r="X928" t="s">
        <v>69</v>
      </c>
      <c r="Y928" t="s">
        <v>71</v>
      </c>
      <c r="Z928" t="s">
        <v>102</v>
      </c>
    </row>
    <row r="929" spans="1:26" x14ac:dyDescent="0.2">
      <c r="A929" t="s">
        <v>1678</v>
      </c>
      <c r="B929" t="s">
        <v>785</v>
      </c>
      <c r="C929" t="s">
        <v>74</v>
      </c>
      <c r="D929" t="s">
        <v>75</v>
      </c>
      <c r="E929" t="s">
        <v>204</v>
      </c>
      <c r="F929" t="s">
        <v>64</v>
      </c>
      <c r="G929" t="s">
        <v>65</v>
      </c>
      <c r="H929" t="s">
        <v>66</v>
      </c>
      <c r="I929" t="s">
        <v>148</v>
      </c>
      <c r="J929" s="3">
        <v>44822</v>
      </c>
      <c r="K929">
        <v>3.3</v>
      </c>
      <c r="L929">
        <v>32</v>
      </c>
      <c r="M929" s="4">
        <v>4700</v>
      </c>
      <c r="N929" s="4">
        <v>74492</v>
      </c>
      <c r="O929" t="s">
        <v>68</v>
      </c>
      <c r="P929" t="s">
        <v>68</v>
      </c>
      <c r="Q929">
        <v>2.77</v>
      </c>
      <c r="R929">
        <v>57</v>
      </c>
      <c r="S929">
        <v>39</v>
      </c>
      <c r="T929" t="s">
        <v>68</v>
      </c>
      <c r="U929">
        <v>0</v>
      </c>
      <c r="V929">
        <v>20</v>
      </c>
      <c r="W929" t="s">
        <v>70</v>
      </c>
      <c r="X929" t="s">
        <v>68</v>
      </c>
      <c r="Y929" t="s">
        <v>86</v>
      </c>
      <c r="Z929" t="s">
        <v>74</v>
      </c>
    </row>
    <row r="930" spans="1:26" x14ac:dyDescent="0.2">
      <c r="A930" t="s">
        <v>1679</v>
      </c>
      <c r="B930" t="s">
        <v>1680</v>
      </c>
      <c r="C930" t="s">
        <v>143</v>
      </c>
      <c r="D930" t="s">
        <v>207</v>
      </c>
      <c r="E930" t="s">
        <v>1681</v>
      </c>
      <c r="F930" t="s">
        <v>77</v>
      </c>
      <c r="G930" t="s">
        <v>65</v>
      </c>
      <c r="H930" t="s">
        <v>66</v>
      </c>
      <c r="I930" t="s">
        <v>67</v>
      </c>
      <c r="J930" s="3">
        <v>40948</v>
      </c>
      <c r="K930">
        <v>13.9</v>
      </c>
      <c r="L930">
        <v>45</v>
      </c>
      <c r="M930" s="4">
        <v>10200</v>
      </c>
      <c r="N930" s="4">
        <v>152577</v>
      </c>
      <c r="O930" t="s">
        <v>68</v>
      </c>
      <c r="P930" t="s">
        <v>69</v>
      </c>
      <c r="Q930">
        <v>3.05</v>
      </c>
      <c r="R930">
        <v>69</v>
      </c>
      <c r="S930">
        <v>22</v>
      </c>
      <c r="T930" t="s">
        <v>69</v>
      </c>
      <c r="U930">
        <v>4</v>
      </c>
      <c r="V930">
        <v>37</v>
      </c>
      <c r="W930" t="s">
        <v>70</v>
      </c>
      <c r="X930" t="s">
        <v>68</v>
      </c>
      <c r="Y930" t="s">
        <v>71</v>
      </c>
      <c r="Z930" t="s">
        <v>143</v>
      </c>
    </row>
    <row r="931" spans="1:26" x14ac:dyDescent="0.2">
      <c r="A931" t="s">
        <v>1682</v>
      </c>
      <c r="B931" t="s">
        <v>617</v>
      </c>
      <c r="C931" t="s">
        <v>89</v>
      </c>
      <c r="D931" t="s">
        <v>239</v>
      </c>
      <c r="E931" t="s">
        <v>372</v>
      </c>
      <c r="F931" t="s">
        <v>120</v>
      </c>
      <c r="G931" t="s">
        <v>65</v>
      </c>
      <c r="H931" t="s">
        <v>78</v>
      </c>
      <c r="I931" t="s">
        <v>67</v>
      </c>
      <c r="J931" s="3">
        <v>43106</v>
      </c>
      <c r="K931">
        <v>8</v>
      </c>
      <c r="L931">
        <v>56</v>
      </c>
      <c r="M931" s="4">
        <v>8900</v>
      </c>
      <c r="N931" s="4">
        <v>128361</v>
      </c>
      <c r="O931" t="s">
        <v>68</v>
      </c>
      <c r="P931" t="s">
        <v>69</v>
      </c>
      <c r="Q931">
        <v>2.84</v>
      </c>
      <c r="R931">
        <v>57</v>
      </c>
      <c r="S931">
        <v>33</v>
      </c>
      <c r="T931" t="s">
        <v>69</v>
      </c>
      <c r="U931">
        <v>3</v>
      </c>
      <c r="V931">
        <v>57</v>
      </c>
      <c r="W931" t="s">
        <v>70</v>
      </c>
      <c r="X931" t="s">
        <v>68</v>
      </c>
      <c r="Y931" t="s">
        <v>86</v>
      </c>
      <c r="Z931" t="s">
        <v>89</v>
      </c>
    </row>
    <row r="932" spans="1:26" x14ac:dyDescent="0.2">
      <c r="A932" t="s">
        <v>1683</v>
      </c>
      <c r="B932" t="s">
        <v>402</v>
      </c>
      <c r="C932" t="s">
        <v>133</v>
      </c>
      <c r="D932" t="s">
        <v>134</v>
      </c>
      <c r="E932" t="s">
        <v>822</v>
      </c>
      <c r="F932" t="s">
        <v>64</v>
      </c>
      <c r="G932" t="s">
        <v>65</v>
      </c>
      <c r="H932" t="s">
        <v>78</v>
      </c>
      <c r="I932" t="s">
        <v>67</v>
      </c>
      <c r="J932" s="3">
        <v>45228</v>
      </c>
      <c r="K932">
        <v>2.2000000000000002</v>
      </c>
      <c r="L932">
        <v>51</v>
      </c>
      <c r="M932" s="4">
        <v>4700</v>
      </c>
      <c r="N932" s="4">
        <v>76989</v>
      </c>
      <c r="O932" t="s">
        <v>68</v>
      </c>
      <c r="P932" t="s">
        <v>68</v>
      </c>
      <c r="Q932">
        <v>2.81</v>
      </c>
      <c r="R932">
        <v>69</v>
      </c>
      <c r="S932">
        <v>9</v>
      </c>
      <c r="T932" t="s">
        <v>69</v>
      </c>
      <c r="U932">
        <v>7</v>
      </c>
      <c r="V932">
        <v>0</v>
      </c>
      <c r="W932" t="s">
        <v>70</v>
      </c>
      <c r="X932" t="s">
        <v>68</v>
      </c>
      <c r="Y932" t="s">
        <v>71</v>
      </c>
      <c r="Z932" t="s">
        <v>133</v>
      </c>
    </row>
    <row r="933" spans="1:26" x14ac:dyDescent="0.2">
      <c r="A933" t="s">
        <v>1684</v>
      </c>
      <c r="B933" t="s">
        <v>652</v>
      </c>
      <c r="C933" t="s">
        <v>133</v>
      </c>
      <c r="D933" t="s">
        <v>287</v>
      </c>
      <c r="E933" t="s">
        <v>1685</v>
      </c>
      <c r="F933" t="s">
        <v>174</v>
      </c>
      <c r="G933" t="s">
        <v>65</v>
      </c>
      <c r="H933" t="s">
        <v>78</v>
      </c>
      <c r="I933" t="s">
        <v>111</v>
      </c>
      <c r="J933" s="3">
        <v>41889</v>
      </c>
      <c r="K933">
        <v>11.3</v>
      </c>
      <c r="L933">
        <v>50</v>
      </c>
      <c r="M933" s="4">
        <v>24100</v>
      </c>
      <c r="N933" s="4">
        <v>376861</v>
      </c>
      <c r="O933" t="s">
        <v>69</v>
      </c>
      <c r="P933" t="s">
        <v>68</v>
      </c>
      <c r="Q933">
        <v>2.98</v>
      </c>
      <c r="R933">
        <v>52</v>
      </c>
      <c r="S933">
        <v>24</v>
      </c>
      <c r="T933" t="s">
        <v>68</v>
      </c>
      <c r="U933">
        <v>12</v>
      </c>
      <c r="V933">
        <v>0</v>
      </c>
      <c r="W933" t="s">
        <v>68</v>
      </c>
      <c r="X933" t="s">
        <v>68</v>
      </c>
      <c r="Y933" t="s">
        <v>71</v>
      </c>
      <c r="Z933" t="s">
        <v>133</v>
      </c>
    </row>
    <row r="934" spans="1:26" x14ac:dyDescent="0.2">
      <c r="A934" t="s">
        <v>1686</v>
      </c>
      <c r="B934" t="s">
        <v>525</v>
      </c>
      <c r="C934" t="s">
        <v>143</v>
      </c>
      <c r="D934" t="s">
        <v>158</v>
      </c>
      <c r="E934" t="s">
        <v>173</v>
      </c>
      <c r="F934" t="s">
        <v>174</v>
      </c>
      <c r="G934" t="s">
        <v>65</v>
      </c>
      <c r="H934" t="s">
        <v>78</v>
      </c>
      <c r="I934" t="s">
        <v>148</v>
      </c>
      <c r="J934" s="3">
        <v>42427</v>
      </c>
      <c r="K934">
        <v>9.9</v>
      </c>
      <c r="L934">
        <v>41</v>
      </c>
      <c r="M934" s="4">
        <v>30900</v>
      </c>
      <c r="N934" s="4">
        <v>509472</v>
      </c>
      <c r="O934" t="s">
        <v>69</v>
      </c>
      <c r="P934" t="s">
        <v>69</v>
      </c>
      <c r="Q934">
        <v>2.5499999999999998</v>
      </c>
      <c r="R934">
        <v>40</v>
      </c>
      <c r="S934">
        <v>47</v>
      </c>
      <c r="T934" t="s">
        <v>69</v>
      </c>
      <c r="U934">
        <v>6</v>
      </c>
      <c r="V934">
        <v>24</v>
      </c>
      <c r="W934" t="s">
        <v>69</v>
      </c>
      <c r="X934" t="s">
        <v>68</v>
      </c>
      <c r="Y934" t="s">
        <v>86</v>
      </c>
      <c r="Z934" t="s">
        <v>143</v>
      </c>
    </row>
    <row r="935" spans="1:26" x14ac:dyDescent="0.2">
      <c r="A935" t="s">
        <v>1687</v>
      </c>
      <c r="B935" t="s">
        <v>225</v>
      </c>
      <c r="C935" t="s">
        <v>102</v>
      </c>
      <c r="D935" t="s">
        <v>103</v>
      </c>
      <c r="E935" t="s">
        <v>369</v>
      </c>
      <c r="F935" t="s">
        <v>120</v>
      </c>
      <c r="G935" t="s">
        <v>65</v>
      </c>
      <c r="H935" t="s">
        <v>78</v>
      </c>
      <c r="I935" t="s">
        <v>67</v>
      </c>
      <c r="J935" s="3">
        <v>44255</v>
      </c>
      <c r="K935">
        <v>4.8</v>
      </c>
      <c r="L935">
        <v>51</v>
      </c>
      <c r="M935" s="4">
        <v>9500</v>
      </c>
      <c r="N935" s="4">
        <v>138776</v>
      </c>
      <c r="O935" t="s">
        <v>68</v>
      </c>
      <c r="P935" t="s">
        <v>69</v>
      </c>
      <c r="Q935">
        <v>3.56</v>
      </c>
      <c r="R935">
        <v>60</v>
      </c>
      <c r="S935">
        <v>21</v>
      </c>
      <c r="T935" t="s">
        <v>69</v>
      </c>
      <c r="U935">
        <v>12</v>
      </c>
      <c r="V935">
        <v>35</v>
      </c>
      <c r="W935" t="s">
        <v>70</v>
      </c>
      <c r="X935" t="s">
        <v>69</v>
      </c>
      <c r="Y935" t="s">
        <v>71</v>
      </c>
      <c r="Z935" t="s">
        <v>102</v>
      </c>
    </row>
    <row r="936" spans="1:26" x14ac:dyDescent="0.2">
      <c r="A936" t="s">
        <v>1688</v>
      </c>
      <c r="B936" t="s">
        <v>629</v>
      </c>
      <c r="C936" t="s">
        <v>61</v>
      </c>
      <c r="D936" t="s">
        <v>177</v>
      </c>
      <c r="E936" t="s">
        <v>178</v>
      </c>
      <c r="F936" t="s">
        <v>77</v>
      </c>
      <c r="G936" t="s">
        <v>215</v>
      </c>
      <c r="H936" t="s">
        <v>78</v>
      </c>
      <c r="I936" t="s">
        <v>236</v>
      </c>
      <c r="J936" s="3">
        <v>45119</v>
      </c>
      <c r="K936">
        <v>2.5</v>
      </c>
      <c r="L936">
        <v>57</v>
      </c>
      <c r="M936" s="4">
        <v>10600</v>
      </c>
      <c r="N936" s="4">
        <v>151779</v>
      </c>
      <c r="O936" t="s">
        <v>69</v>
      </c>
      <c r="P936" t="s">
        <v>69</v>
      </c>
      <c r="Q936">
        <v>3.11</v>
      </c>
      <c r="R936">
        <v>71</v>
      </c>
      <c r="S936">
        <v>43</v>
      </c>
      <c r="T936" t="s">
        <v>69</v>
      </c>
      <c r="U936">
        <v>4</v>
      </c>
      <c r="V936">
        <v>0</v>
      </c>
      <c r="W936" t="s">
        <v>69</v>
      </c>
      <c r="X936" t="s">
        <v>68</v>
      </c>
      <c r="Y936" t="s">
        <v>71</v>
      </c>
      <c r="Z936" t="s">
        <v>61</v>
      </c>
    </row>
    <row r="937" spans="1:26" x14ac:dyDescent="0.2">
      <c r="A937" t="s">
        <v>1689</v>
      </c>
      <c r="B937" t="s">
        <v>943</v>
      </c>
      <c r="C937" t="s">
        <v>143</v>
      </c>
      <c r="D937" t="s">
        <v>207</v>
      </c>
      <c r="E937" t="s">
        <v>444</v>
      </c>
      <c r="F937" t="s">
        <v>92</v>
      </c>
      <c r="G937" t="s">
        <v>215</v>
      </c>
      <c r="H937" t="s">
        <v>78</v>
      </c>
      <c r="I937" t="s">
        <v>148</v>
      </c>
      <c r="J937" s="3">
        <v>43973</v>
      </c>
      <c r="K937">
        <v>5.6</v>
      </c>
      <c r="L937">
        <v>29</v>
      </c>
      <c r="M937" s="4">
        <v>4400</v>
      </c>
      <c r="N937" s="4">
        <v>68147</v>
      </c>
      <c r="O937" t="s">
        <v>68</v>
      </c>
      <c r="P937" t="s">
        <v>69</v>
      </c>
      <c r="Q937">
        <v>3.34</v>
      </c>
      <c r="R937">
        <v>61</v>
      </c>
      <c r="S937">
        <v>29</v>
      </c>
      <c r="T937" t="s">
        <v>69</v>
      </c>
      <c r="U937">
        <v>2</v>
      </c>
      <c r="V937">
        <v>23</v>
      </c>
      <c r="W937" t="s">
        <v>70</v>
      </c>
      <c r="X937" t="s">
        <v>68</v>
      </c>
      <c r="Y937" t="s">
        <v>86</v>
      </c>
      <c r="Z937" t="s">
        <v>143</v>
      </c>
    </row>
    <row r="938" spans="1:26" x14ac:dyDescent="0.2">
      <c r="A938" t="s">
        <v>1690</v>
      </c>
      <c r="B938" t="s">
        <v>1253</v>
      </c>
      <c r="C938" t="s">
        <v>124</v>
      </c>
      <c r="D938" t="s">
        <v>125</v>
      </c>
      <c r="E938" t="s">
        <v>1110</v>
      </c>
      <c r="F938" t="s">
        <v>84</v>
      </c>
      <c r="G938" t="s">
        <v>65</v>
      </c>
      <c r="H938" t="s">
        <v>78</v>
      </c>
      <c r="I938" t="s">
        <v>148</v>
      </c>
      <c r="J938" s="3">
        <v>45814</v>
      </c>
      <c r="K938">
        <v>0.6</v>
      </c>
      <c r="L938">
        <v>55</v>
      </c>
      <c r="M938" s="4">
        <v>18200</v>
      </c>
      <c r="N938" s="4">
        <v>297791</v>
      </c>
      <c r="O938" t="s">
        <v>69</v>
      </c>
      <c r="P938" t="s">
        <v>68</v>
      </c>
      <c r="Q938">
        <v>2.75</v>
      </c>
      <c r="R938">
        <v>62</v>
      </c>
      <c r="S938">
        <v>31</v>
      </c>
      <c r="T938" t="s">
        <v>69</v>
      </c>
      <c r="U938">
        <v>6</v>
      </c>
      <c r="V938">
        <v>13</v>
      </c>
      <c r="W938" t="s">
        <v>68</v>
      </c>
      <c r="X938" t="s">
        <v>68</v>
      </c>
      <c r="Y938" t="s">
        <v>71</v>
      </c>
      <c r="Z938" t="s">
        <v>124</v>
      </c>
    </row>
    <row r="939" spans="1:26" x14ac:dyDescent="0.2">
      <c r="A939" t="s">
        <v>1691</v>
      </c>
      <c r="B939" t="s">
        <v>304</v>
      </c>
      <c r="C939" t="s">
        <v>89</v>
      </c>
      <c r="D939" t="s">
        <v>90</v>
      </c>
      <c r="E939" t="s">
        <v>348</v>
      </c>
      <c r="F939" t="s">
        <v>77</v>
      </c>
      <c r="G939" t="s">
        <v>65</v>
      </c>
      <c r="H939" t="s">
        <v>66</v>
      </c>
      <c r="I939" t="s">
        <v>79</v>
      </c>
      <c r="J939" s="3">
        <v>44110</v>
      </c>
      <c r="K939">
        <v>5.2</v>
      </c>
      <c r="L939">
        <v>58</v>
      </c>
      <c r="M939" s="4">
        <v>11400</v>
      </c>
      <c r="N939" s="4">
        <v>164645</v>
      </c>
      <c r="O939" t="s">
        <v>68</v>
      </c>
      <c r="P939" t="s">
        <v>69</v>
      </c>
      <c r="Q939">
        <v>3.12</v>
      </c>
      <c r="R939">
        <v>69</v>
      </c>
      <c r="S939">
        <v>13</v>
      </c>
      <c r="T939" t="s">
        <v>69</v>
      </c>
      <c r="U939">
        <v>1</v>
      </c>
      <c r="V939">
        <v>14</v>
      </c>
      <c r="W939" t="s">
        <v>70</v>
      </c>
      <c r="X939" t="s">
        <v>68</v>
      </c>
      <c r="Y939" t="s">
        <v>71</v>
      </c>
      <c r="Z939" t="s">
        <v>89</v>
      </c>
    </row>
    <row r="940" spans="1:26" x14ac:dyDescent="0.2">
      <c r="A940" t="s">
        <v>1692</v>
      </c>
      <c r="B940" t="s">
        <v>858</v>
      </c>
      <c r="C940" t="s">
        <v>133</v>
      </c>
      <c r="D940" t="s">
        <v>134</v>
      </c>
      <c r="E940" t="s">
        <v>993</v>
      </c>
      <c r="F940" t="s">
        <v>77</v>
      </c>
      <c r="G940" t="s">
        <v>65</v>
      </c>
      <c r="H940" t="s">
        <v>66</v>
      </c>
      <c r="I940" t="s">
        <v>121</v>
      </c>
      <c r="J940" s="3">
        <v>43910</v>
      </c>
      <c r="K940">
        <v>5.8</v>
      </c>
      <c r="L940">
        <v>45</v>
      </c>
      <c r="M940" s="4">
        <v>11500</v>
      </c>
      <c r="N940" s="4">
        <v>180292</v>
      </c>
      <c r="O940" t="s">
        <v>68</v>
      </c>
      <c r="P940" t="s">
        <v>68</v>
      </c>
      <c r="Q940">
        <v>2.83</v>
      </c>
      <c r="R940">
        <v>56</v>
      </c>
      <c r="S940">
        <v>39</v>
      </c>
      <c r="T940" t="s">
        <v>69</v>
      </c>
      <c r="U940">
        <v>1</v>
      </c>
      <c r="V940">
        <v>39</v>
      </c>
      <c r="W940" t="s">
        <v>70</v>
      </c>
      <c r="X940" t="s">
        <v>68</v>
      </c>
      <c r="Y940" t="s">
        <v>86</v>
      </c>
      <c r="Z940" t="s">
        <v>133</v>
      </c>
    </row>
    <row r="941" spans="1:26" x14ac:dyDescent="0.2">
      <c r="A941" t="s">
        <v>1693</v>
      </c>
      <c r="B941" t="s">
        <v>390</v>
      </c>
      <c r="C941" t="s">
        <v>74</v>
      </c>
      <c r="D941" t="s">
        <v>313</v>
      </c>
      <c r="E941" t="s">
        <v>314</v>
      </c>
      <c r="F941" t="s">
        <v>174</v>
      </c>
      <c r="G941" t="s">
        <v>65</v>
      </c>
      <c r="H941" t="s">
        <v>66</v>
      </c>
      <c r="I941" t="s">
        <v>148</v>
      </c>
      <c r="J941" s="3">
        <v>42008</v>
      </c>
      <c r="K941">
        <v>11</v>
      </c>
      <c r="L941">
        <v>56</v>
      </c>
      <c r="M941" s="4">
        <v>28700</v>
      </c>
      <c r="N941" s="4">
        <v>414289</v>
      </c>
      <c r="O941" t="s">
        <v>69</v>
      </c>
      <c r="P941" t="s">
        <v>68</v>
      </c>
      <c r="Q941">
        <v>3.76</v>
      </c>
      <c r="R941">
        <v>71</v>
      </c>
      <c r="S941">
        <v>16</v>
      </c>
      <c r="T941" t="s">
        <v>68</v>
      </c>
      <c r="U941">
        <v>5</v>
      </c>
      <c r="V941">
        <v>52</v>
      </c>
      <c r="W941" t="s">
        <v>68</v>
      </c>
      <c r="X941" t="s">
        <v>69</v>
      </c>
      <c r="Y941" t="s">
        <v>71</v>
      </c>
      <c r="Z941" t="s">
        <v>74</v>
      </c>
    </row>
    <row r="942" spans="1:26" x14ac:dyDescent="0.2">
      <c r="A942" t="s">
        <v>1694</v>
      </c>
      <c r="B942" t="s">
        <v>452</v>
      </c>
      <c r="C942" t="s">
        <v>124</v>
      </c>
      <c r="D942" t="s">
        <v>243</v>
      </c>
      <c r="E942" t="s">
        <v>478</v>
      </c>
      <c r="F942" t="s">
        <v>120</v>
      </c>
      <c r="G942" t="s">
        <v>65</v>
      </c>
      <c r="H942" t="s">
        <v>78</v>
      </c>
      <c r="I942" t="s">
        <v>99</v>
      </c>
      <c r="J942" s="3">
        <v>43471</v>
      </c>
      <c r="K942">
        <v>7</v>
      </c>
      <c r="L942">
        <v>49</v>
      </c>
      <c r="M942" s="4">
        <v>6600</v>
      </c>
      <c r="N942" s="4">
        <v>104295</v>
      </c>
      <c r="O942" t="s">
        <v>68</v>
      </c>
      <c r="P942" t="s">
        <v>68</v>
      </c>
      <c r="Q942">
        <v>3.31</v>
      </c>
      <c r="R942">
        <v>81</v>
      </c>
      <c r="S942">
        <v>27</v>
      </c>
      <c r="T942" t="s">
        <v>69</v>
      </c>
      <c r="U942">
        <v>3</v>
      </c>
      <c r="V942">
        <v>19</v>
      </c>
      <c r="W942" t="s">
        <v>70</v>
      </c>
      <c r="X942" t="s">
        <v>68</v>
      </c>
      <c r="Y942" t="s">
        <v>71</v>
      </c>
      <c r="Z942" t="s">
        <v>124</v>
      </c>
    </row>
    <row r="943" spans="1:26" x14ac:dyDescent="0.2">
      <c r="A943" t="s">
        <v>1695</v>
      </c>
      <c r="B943" t="s">
        <v>906</v>
      </c>
      <c r="C943" t="s">
        <v>96</v>
      </c>
      <c r="D943" t="s">
        <v>129</v>
      </c>
      <c r="E943" t="s">
        <v>562</v>
      </c>
      <c r="F943" t="s">
        <v>77</v>
      </c>
      <c r="G943" t="s">
        <v>65</v>
      </c>
      <c r="H943" t="s">
        <v>66</v>
      </c>
      <c r="I943" t="s">
        <v>111</v>
      </c>
      <c r="J943" s="3">
        <v>45947</v>
      </c>
      <c r="K943">
        <v>0.2</v>
      </c>
      <c r="L943">
        <v>56</v>
      </c>
      <c r="M943" s="4">
        <v>12400</v>
      </c>
      <c r="N943" s="4">
        <v>187086</v>
      </c>
      <c r="O943" t="s">
        <v>68</v>
      </c>
      <c r="P943" t="s">
        <v>69</v>
      </c>
      <c r="Q943">
        <v>3.16</v>
      </c>
      <c r="R943">
        <v>68</v>
      </c>
      <c r="S943">
        <v>26</v>
      </c>
      <c r="T943" t="s">
        <v>69</v>
      </c>
      <c r="U943">
        <v>10</v>
      </c>
      <c r="V943">
        <v>4</v>
      </c>
      <c r="W943" t="s">
        <v>70</v>
      </c>
      <c r="X943" t="s">
        <v>68</v>
      </c>
      <c r="Y943" t="s">
        <v>71</v>
      </c>
      <c r="Z943" t="s">
        <v>96</v>
      </c>
    </row>
    <row r="944" spans="1:26" x14ac:dyDescent="0.2">
      <c r="A944" t="s">
        <v>1696</v>
      </c>
      <c r="B944" t="s">
        <v>621</v>
      </c>
      <c r="C944" t="s">
        <v>74</v>
      </c>
      <c r="D944" t="s">
        <v>313</v>
      </c>
      <c r="E944" t="s">
        <v>358</v>
      </c>
      <c r="F944" t="s">
        <v>120</v>
      </c>
      <c r="G944" t="s">
        <v>65</v>
      </c>
      <c r="H944" t="s">
        <v>66</v>
      </c>
      <c r="I944" t="s">
        <v>67</v>
      </c>
      <c r="J944" s="3">
        <v>41543</v>
      </c>
      <c r="K944">
        <v>12.3</v>
      </c>
      <c r="L944">
        <v>40</v>
      </c>
      <c r="M944" s="4">
        <v>9400</v>
      </c>
      <c r="N944" s="4">
        <v>155319</v>
      </c>
      <c r="O944" t="s">
        <v>68</v>
      </c>
      <c r="P944" t="s">
        <v>68</v>
      </c>
      <c r="Q944">
        <v>3.34</v>
      </c>
      <c r="R944">
        <v>69</v>
      </c>
      <c r="S944">
        <v>43</v>
      </c>
      <c r="T944" t="s">
        <v>69</v>
      </c>
      <c r="U944">
        <v>4</v>
      </c>
      <c r="V944">
        <v>16</v>
      </c>
      <c r="W944" t="s">
        <v>70</v>
      </c>
      <c r="X944" t="s">
        <v>68</v>
      </c>
      <c r="Y944" t="s">
        <v>71</v>
      </c>
      <c r="Z944" t="s">
        <v>74</v>
      </c>
    </row>
    <row r="945" spans="1:26" x14ac:dyDescent="0.2">
      <c r="A945" t="s">
        <v>1697</v>
      </c>
      <c r="B945" t="s">
        <v>246</v>
      </c>
      <c r="C945" t="s">
        <v>124</v>
      </c>
      <c r="D945" t="s">
        <v>125</v>
      </c>
      <c r="E945" t="s">
        <v>395</v>
      </c>
      <c r="F945" t="s">
        <v>92</v>
      </c>
      <c r="G945" t="s">
        <v>65</v>
      </c>
      <c r="H945" t="s">
        <v>78</v>
      </c>
      <c r="I945" t="s">
        <v>67</v>
      </c>
      <c r="J945" s="3">
        <v>43076</v>
      </c>
      <c r="K945">
        <v>8.1</v>
      </c>
      <c r="L945">
        <v>24</v>
      </c>
      <c r="M945" s="4">
        <v>3600</v>
      </c>
      <c r="N945" s="4">
        <v>59005</v>
      </c>
      <c r="O945" t="s">
        <v>68</v>
      </c>
      <c r="P945" t="s">
        <v>68</v>
      </c>
      <c r="Q945">
        <v>2.5499999999999998</v>
      </c>
      <c r="R945">
        <v>68</v>
      </c>
      <c r="S945">
        <v>22</v>
      </c>
      <c r="T945" t="s">
        <v>69</v>
      </c>
      <c r="U945">
        <v>4</v>
      </c>
      <c r="V945">
        <v>0</v>
      </c>
      <c r="W945" t="s">
        <v>70</v>
      </c>
      <c r="X945" t="s">
        <v>68</v>
      </c>
      <c r="Y945" t="s">
        <v>71</v>
      </c>
      <c r="Z945" t="s">
        <v>124</v>
      </c>
    </row>
    <row r="946" spans="1:26" x14ac:dyDescent="0.2">
      <c r="A946" t="s">
        <v>1698</v>
      </c>
      <c r="B946" t="s">
        <v>443</v>
      </c>
      <c r="C946" t="s">
        <v>74</v>
      </c>
      <c r="D946" t="s">
        <v>118</v>
      </c>
      <c r="E946" t="s">
        <v>438</v>
      </c>
      <c r="F946" t="s">
        <v>64</v>
      </c>
      <c r="G946" t="s">
        <v>65</v>
      </c>
      <c r="H946" t="s">
        <v>78</v>
      </c>
      <c r="I946" t="s">
        <v>79</v>
      </c>
      <c r="J946" s="3">
        <v>41128</v>
      </c>
      <c r="K946">
        <v>13.4</v>
      </c>
      <c r="L946">
        <v>24</v>
      </c>
      <c r="M946" s="4">
        <v>7800</v>
      </c>
      <c r="N946" s="4">
        <v>119872</v>
      </c>
      <c r="O946" t="s">
        <v>68</v>
      </c>
      <c r="P946" t="s">
        <v>68</v>
      </c>
      <c r="Q946">
        <v>2.97</v>
      </c>
      <c r="R946">
        <v>65</v>
      </c>
      <c r="S946">
        <v>26</v>
      </c>
      <c r="T946" t="s">
        <v>69</v>
      </c>
      <c r="U946">
        <v>6</v>
      </c>
      <c r="V946">
        <v>45</v>
      </c>
      <c r="W946" t="s">
        <v>70</v>
      </c>
      <c r="X946" t="s">
        <v>68</v>
      </c>
      <c r="Y946" t="s">
        <v>86</v>
      </c>
      <c r="Z946" t="s">
        <v>74</v>
      </c>
    </row>
    <row r="947" spans="1:26" x14ac:dyDescent="0.2">
      <c r="A947" t="s">
        <v>1699</v>
      </c>
      <c r="B947" t="s">
        <v>1075</v>
      </c>
      <c r="C947" t="s">
        <v>61</v>
      </c>
      <c r="D947" t="s">
        <v>604</v>
      </c>
      <c r="E947" t="s">
        <v>836</v>
      </c>
      <c r="F947" t="s">
        <v>174</v>
      </c>
      <c r="G947" t="s">
        <v>65</v>
      </c>
      <c r="H947" t="s">
        <v>78</v>
      </c>
      <c r="I947" t="s">
        <v>99</v>
      </c>
      <c r="J947" s="3">
        <v>40964</v>
      </c>
      <c r="K947">
        <v>13.9</v>
      </c>
      <c r="L947">
        <v>59</v>
      </c>
      <c r="M947" s="4">
        <v>21100</v>
      </c>
      <c r="N947" s="4">
        <v>324142</v>
      </c>
      <c r="O947" t="s">
        <v>69</v>
      </c>
      <c r="P947" t="s">
        <v>69</v>
      </c>
      <c r="Q947">
        <v>2.89</v>
      </c>
      <c r="R947">
        <v>56</v>
      </c>
      <c r="S947">
        <v>43</v>
      </c>
      <c r="T947" t="s">
        <v>69</v>
      </c>
      <c r="U947">
        <v>9</v>
      </c>
      <c r="V947">
        <v>0</v>
      </c>
      <c r="W947" t="s">
        <v>68</v>
      </c>
      <c r="X947" t="s">
        <v>68</v>
      </c>
      <c r="Y947" t="s">
        <v>71</v>
      </c>
      <c r="Z947" t="s">
        <v>61</v>
      </c>
    </row>
    <row r="948" spans="1:26" x14ac:dyDescent="0.2">
      <c r="A948" t="s">
        <v>1700</v>
      </c>
      <c r="B948" t="s">
        <v>642</v>
      </c>
      <c r="C948" t="s">
        <v>61</v>
      </c>
      <c r="D948" t="s">
        <v>62</v>
      </c>
      <c r="E948" t="s">
        <v>702</v>
      </c>
      <c r="F948" t="s">
        <v>120</v>
      </c>
      <c r="G948" t="s">
        <v>65</v>
      </c>
      <c r="H948" t="s">
        <v>66</v>
      </c>
      <c r="I948" t="s">
        <v>148</v>
      </c>
      <c r="J948" s="3">
        <v>42294</v>
      </c>
      <c r="K948">
        <v>10.199999999999999</v>
      </c>
      <c r="L948">
        <v>34</v>
      </c>
      <c r="M948" s="4">
        <v>8700</v>
      </c>
      <c r="N948" s="4">
        <v>142427</v>
      </c>
      <c r="O948" t="s">
        <v>69</v>
      </c>
      <c r="P948" t="s">
        <v>68</v>
      </c>
      <c r="Q948">
        <v>3.08</v>
      </c>
      <c r="R948">
        <v>69</v>
      </c>
      <c r="S948">
        <v>18</v>
      </c>
      <c r="T948" t="s">
        <v>69</v>
      </c>
      <c r="U948">
        <v>7</v>
      </c>
      <c r="V948">
        <v>16</v>
      </c>
      <c r="W948" t="s">
        <v>69</v>
      </c>
      <c r="X948" t="s">
        <v>68</v>
      </c>
      <c r="Y948" t="s">
        <v>71</v>
      </c>
      <c r="Z948" t="s">
        <v>61</v>
      </c>
    </row>
    <row r="949" spans="1:26" x14ac:dyDescent="0.2">
      <c r="A949" t="s">
        <v>1701</v>
      </c>
      <c r="B949" t="s">
        <v>889</v>
      </c>
      <c r="C949" t="s">
        <v>108</v>
      </c>
      <c r="D949" t="s">
        <v>194</v>
      </c>
      <c r="E949" t="s">
        <v>381</v>
      </c>
      <c r="F949" t="s">
        <v>77</v>
      </c>
      <c r="G949" t="s">
        <v>65</v>
      </c>
      <c r="H949" t="s">
        <v>66</v>
      </c>
      <c r="I949" t="s">
        <v>148</v>
      </c>
      <c r="J949" s="3">
        <v>42385</v>
      </c>
      <c r="K949">
        <v>10</v>
      </c>
      <c r="L949">
        <v>40</v>
      </c>
      <c r="M949" s="4">
        <v>11800</v>
      </c>
      <c r="N949" s="4">
        <v>192205</v>
      </c>
      <c r="O949" t="s">
        <v>68</v>
      </c>
      <c r="P949" t="s">
        <v>69</v>
      </c>
      <c r="Q949">
        <v>2.4300000000000002</v>
      </c>
      <c r="R949">
        <v>55</v>
      </c>
      <c r="S949">
        <v>15</v>
      </c>
      <c r="T949" t="s">
        <v>69</v>
      </c>
      <c r="U949">
        <v>6</v>
      </c>
      <c r="V949">
        <v>43</v>
      </c>
      <c r="W949" t="s">
        <v>70</v>
      </c>
      <c r="X949" t="s">
        <v>68</v>
      </c>
      <c r="Y949" t="s">
        <v>86</v>
      </c>
      <c r="Z949" t="s">
        <v>108</v>
      </c>
    </row>
    <row r="950" spans="1:26" x14ac:dyDescent="0.2">
      <c r="A950" t="s">
        <v>1702</v>
      </c>
      <c r="B950" t="s">
        <v>1142</v>
      </c>
      <c r="C950" t="s">
        <v>89</v>
      </c>
      <c r="D950" t="s">
        <v>90</v>
      </c>
      <c r="E950" t="s">
        <v>253</v>
      </c>
      <c r="F950" t="s">
        <v>64</v>
      </c>
      <c r="G950" t="s">
        <v>85</v>
      </c>
      <c r="H950" t="s">
        <v>66</v>
      </c>
      <c r="I950" t="s">
        <v>148</v>
      </c>
      <c r="J950" s="3">
        <v>45519</v>
      </c>
      <c r="K950">
        <v>1.4</v>
      </c>
      <c r="L950">
        <v>24</v>
      </c>
      <c r="M950" s="4">
        <v>6400</v>
      </c>
      <c r="N950" s="4">
        <v>98380</v>
      </c>
      <c r="O950" t="s">
        <v>68</v>
      </c>
      <c r="P950" t="s">
        <v>69</v>
      </c>
      <c r="Q950">
        <v>2.92</v>
      </c>
      <c r="R950">
        <v>65</v>
      </c>
      <c r="S950">
        <v>38</v>
      </c>
      <c r="T950" t="s">
        <v>68</v>
      </c>
      <c r="U950">
        <v>1</v>
      </c>
      <c r="V950">
        <v>41</v>
      </c>
      <c r="W950" t="s">
        <v>70</v>
      </c>
      <c r="X950" t="s">
        <v>68</v>
      </c>
      <c r="Y950" t="s">
        <v>86</v>
      </c>
      <c r="Z950" t="s">
        <v>89</v>
      </c>
    </row>
    <row r="951" spans="1:26" x14ac:dyDescent="0.2">
      <c r="A951" t="s">
        <v>1703</v>
      </c>
      <c r="B951" t="s">
        <v>132</v>
      </c>
      <c r="C951" t="s">
        <v>89</v>
      </c>
      <c r="D951" t="s">
        <v>239</v>
      </c>
      <c r="E951" t="s">
        <v>372</v>
      </c>
      <c r="F951" t="s">
        <v>120</v>
      </c>
      <c r="G951" t="s">
        <v>65</v>
      </c>
      <c r="H951" t="s">
        <v>66</v>
      </c>
      <c r="I951" t="s">
        <v>121</v>
      </c>
      <c r="J951" s="3">
        <v>42174</v>
      </c>
      <c r="K951">
        <v>10.5</v>
      </c>
      <c r="L951">
        <v>56</v>
      </c>
      <c r="M951" s="4">
        <v>9000</v>
      </c>
      <c r="N951" s="4">
        <v>138241</v>
      </c>
      <c r="O951" t="s">
        <v>68</v>
      </c>
      <c r="P951" t="s">
        <v>69</v>
      </c>
      <c r="Q951">
        <v>2.74</v>
      </c>
      <c r="R951">
        <v>68</v>
      </c>
      <c r="S951">
        <v>19</v>
      </c>
      <c r="T951" t="s">
        <v>69</v>
      </c>
      <c r="U951">
        <v>7</v>
      </c>
      <c r="V951">
        <v>0</v>
      </c>
      <c r="W951" t="s">
        <v>70</v>
      </c>
      <c r="X951" t="s">
        <v>68</v>
      </c>
      <c r="Y951" t="s">
        <v>71</v>
      </c>
      <c r="Z951" t="s">
        <v>89</v>
      </c>
    </row>
    <row r="952" spans="1:26" x14ac:dyDescent="0.2">
      <c r="A952" t="s">
        <v>1704</v>
      </c>
      <c r="B952" t="s">
        <v>157</v>
      </c>
      <c r="C952" t="s">
        <v>74</v>
      </c>
      <c r="D952" t="s">
        <v>139</v>
      </c>
      <c r="E952" t="s">
        <v>140</v>
      </c>
      <c r="F952" t="s">
        <v>64</v>
      </c>
      <c r="G952" t="s">
        <v>65</v>
      </c>
      <c r="H952" t="s">
        <v>66</v>
      </c>
      <c r="I952" t="s">
        <v>148</v>
      </c>
      <c r="J952" s="3">
        <v>43347</v>
      </c>
      <c r="K952">
        <v>7.3</v>
      </c>
      <c r="L952">
        <v>24</v>
      </c>
      <c r="M952" s="4">
        <v>7000</v>
      </c>
      <c r="N952" s="4">
        <v>113586</v>
      </c>
      <c r="O952" t="s">
        <v>68</v>
      </c>
      <c r="P952" t="s">
        <v>69</v>
      </c>
      <c r="Q952">
        <v>2.67</v>
      </c>
      <c r="R952">
        <v>66</v>
      </c>
      <c r="S952">
        <v>38</v>
      </c>
      <c r="T952" t="s">
        <v>69</v>
      </c>
      <c r="U952">
        <v>1</v>
      </c>
      <c r="V952">
        <v>14</v>
      </c>
      <c r="W952" t="s">
        <v>70</v>
      </c>
      <c r="X952" t="s">
        <v>68</v>
      </c>
      <c r="Y952" t="s">
        <v>71</v>
      </c>
      <c r="Z952" t="s">
        <v>74</v>
      </c>
    </row>
    <row r="953" spans="1:26" x14ac:dyDescent="0.2">
      <c r="A953" t="s">
        <v>1705</v>
      </c>
      <c r="B953" t="s">
        <v>318</v>
      </c>
      <c r="C953" t="s">
        <v>89</v>
      </c>
      <c r="D953" t="s">
        <v>90</v>
      </c>
      <c r="E953" t="s">
        <v>348</v>
      </c>
      <c r="F953" t="s">
        <v>77</v>
      </c>
      <c r="G953" t="s">
        <v>65</v>
      </c>
      <c r="H953" t="s">
        <v>78</v>
      </c>
      <c r="I953" t="s">
        <v>67</v>
      </c>
      <c r="J953" s="3">
        <v>43672</v>
      </c>
      <c r="K953">
        <v>6.4</v>
      </c>
      <c r="L953">
        <v>23</v>
      </c>
      <c r="M953" s="4">
        <v>9700</v>
      </c>
      <c r="N953" s="4">
        <v>150691</v>
      </c>
      <c r="O953" t="s">
        <v>68</v>
      </c>
      <c r="P953" t="s">
        <v>69</v>
      </c>
      <c r="Q953">
        <v>2.5499999999999998</v>
      </c>
      <c r="R953">
        <v>58</v>
      </c>
      <c r="S953">
        <v>39</v>
      </c>
      <c r="T953" t="s">
        <v>69</v>
      </c>
      <c r="U953">
        <v>5</v>
      </c>
      <c r="V953">
        <v>50</v>
      </c>
      <c r="W953" t="s">
        <v>70</v>
      </c>
      <c r="X953" t="s">
        <v>68</v>
      </c>
      <c r="Y953" t="s">
        <v>86</v>
      </c>
      <c r="Z953" t="s">
        <v>89</v>
      </c>
    </row>
    <row r="954" spans="1:26" x14ac:dyDescent="0.2">
      <c r="A954" t="s">
        <v>1706</v>
      </c>
      <c r="B954" t="s">
        <v>853</v>
      </c>
      <c r="C954" t="s">
        <v>74</v>
      </c>
      <c r="D954" t="s">
        <v>118</v>
      </c>
      <c r="E954" t="s">
        <v>511</v>
      </c>
      <c r="F954" t="s">
        <v>77</v>
      </c>
      <c r="G954" t="s">
        <v>65</v>
      </c>
      <c r="H954" t="s">
        <v>78</v>
      </c>
      <c r="I954" t="s">
        <v>99</v>
      </c>
      <c r="J954" s="3">
        <v>44395</v>
      </c>
      <c r="K954">
        <v>4.5</v>
      </c>
      <c r="L954">
        <v>50</v>
      </c>
      <c r="M954" s="4">
        <v>10700</v>
      </c>
      <c r="N954" s="4">
        <v>156857</v>
      </c>
      <c r="O954" t="s">
        <v>68</v>
      </c>
      <c r="P954" t="s">
        <v>68</v>
      </c>
      <c r="Q954">
        <v>3.78</v>
      </c>
      <c r="R954">
        <v>73</v>
      </c>
      <c r="S954">
        <v>1</v>
      </c>
      <c r="T954" t="s">
        <v>69</v>
      </c>
      <c r="U954">
        <v>0</v>
      </c>
      <c r="V954">
        <v>43</v>
      </c>
      <c r="W954" t="s">
        <v>70</v>
      </c>
      <c r="X954" t="s">
        <v>69</v>
      </c>
      <c r="Y954" t="s">
        <v>71</v>
      </c>
      <c r="Z954" t="s">
        <v>74</v>
      </c>
    </row>
    <row r="955" spans="1:26" x14ac:dyDescent="0.2">
      <c r="A955" t="s">
        <v>1707</v>
      </c>
      <c r="B955" t="s">
        <v>1181</v>
      </c>
      <c r="C955" t="s">
        <v>108</v>
      </c>
      <c r="D955" t="s">
        <v>194</v>
      </c>
      <c r="E955" t="s">
        <v>1221</v>
      </c>
      <c r="F955" t="s">
        <v>84</v>
      </c>
      <c r="G955" t="s">
        <v>65</v>
      </c>
      <c r="H955" t="s">
        <v>78</v>
      </c>
      <c r="I955" t="s">
        <v>115</v>
      </c>
      <c r="J955" s="3">
        <v>45077</v>
      </c>
      <c r="K955">
        <v>2.6</v>
      </c>
      <c r="L955">
        <v>29</v>
      </c>
      <c r="M955" s="4">
        <v>18600</v>
      </c>
      <c r="N955" s="4">
        <v>299373</v>
      </c>
      <c r="O955" t="s">
        <v>69</v>
      </c>
      <c r="P955" t="s">
        <v>69</v>
      </c>
      <c r="Q955">
        <v>4</v>
      </c>
      <c r="R955">
        <v>77</v>
      </c>
      <c r="S955">
        <v>22</v>
      </c>
      <c r="T955" t="s">
        <v>69</v>
      </c>
      <c r="U955">
        <v>0</v>
      </c>
      <c r="V955">
        <v>67</v>
      </c>
      <c r="W955" t="s">
        <v>68</v>
      </c>
      <c r="X955" t="s">
        <v>69</v>
      </c>
      <c r="Y955" t="s">
        <v>71</v>
      </c>
      <c r="Z955" t="s">
        <v>108</v>
      </c>
    </row>
    <row r="956" spans="1:26" x14ac:dyDescent="0.2">
      <c r="A956" t="s">
        <v>1708</v>
      </c>
      <c r="B956" t="s">
        <v>875</v>
      </c>
      <c r="C956" t="s">
        <v>143</v>
      </c>
      <c r="D956" t="s">
        <v>158</v>
      </c>
      <c r="E956" t="s">
        <v>577</v>
      </c>
      <c r="F956" t="s">
        <v>120</v>
      </c>
      <c r="G956" t="s">
        <v>65</v>
      </c>
      <c r="H956" t="s">
        <v>66</v>
      </c>
      <c r="I956" t="s">
        <v>67</v>
      </c>
      <c r="J956" s="3">
        <v>44723</v>
      </c>
      <c r="K956">
        <v>3.6</v>
      </c>
      <c r="L956">
        <v>60</v>
      </c>
      <c r="M956" s="4">
        <v>9200</v>
      </c>
      <c r="N956" s="4">
        <v>151847</v>
      </c>
      <c r="O956" t="s">
        <v>68</v>
      </c>
      <c r="P956" t="s">
        <v>69</v>
      </c>
      <c r="Q956">
        <v>2.65</v>
      </c>
      <c r="R956">
        <v>48</v>
      </c>
      <c r="S956">
        <v>28</v>
      </c>
      <c r="T956" t="s">
        <v>69</v>
      </c>
      <c r="U956">
        <v>5</v>
      </c>
      <c r="V956">
        <v>31</v>
      </c>
      <c r="W956" t="s">
        <v>70</v>
      </c>
      <c r="X956" t="s">
        <v>68</v>
      </c>
      <c r="Y956" t="s">
        <v>86</v>
      </c>
      <c r="Z956" t="s">
        <v>143</v>
      </c>
    </row>
    <row r="957" spans="1:26" x14ac:dyDescent="0.2">
      <c r="A957" t="s">
        <v>1709</v>
      </c>
      <c r="B957" t="s">
        <v>147</v>
      </c>
      <c r="C957" t="s">
        <v>74</v>
      </c>
      <c r="D957" t="s">
        <v>139</v>
      </c>
      <c r="E957" t="s">
        <v>140</v>
      </c>
      <c r="F957" t="s">
        <v>64</v>
      </c>
      <c r="G957" t="s">
        <v>65</v>
      </c>
      <c r="H957" t="s">
        <v>78</v>
      </c>
      <c r="I957" t="s">
        <v>99</v>
      </c>
      <c r="J957" s="3">
        <v>41170</v>
      </c>
      <c r="K957">
        <v>13.3</v>
      </c>
      <c r="L957">
        <v>35</v>
      </c>
      <c r="M957" s="4">
        <v>5600</v>
      </c>
      <c r="N957" s="4">
        <v>81543</v>
      </c>
      <c r="O957" t="s">
        <v>68</v>
      </c>
      <c r="P957" t="s">
        <v>68</v>
      </c>
      <c r="Q957">
        <v>2.5499999999999998</v>
      </c>
      <c r="R957">
        <v>57</v>
      </c>
      <c r="S957">
        <v>35</v>
      </c>
      <c r="T957" t="s">
        <v>69</v>
      </c>
      <c r="U957">
        <v>5</v>
      </c>
      <c r="V957">
        <v>42</v>
      </c>
      <c r="W957" t="s">
        <v>70</v>
      </c>
      <c r="X957" t="s">
        <v>68</v>
      </c>
      <c r="Y957" t="s">
        <v>86</v>
      </c>
      <c r="Z957" t="s">
        <v>74</v>
      </c>
    </row>
    <row r="958" spans="1:26" x14ac:dyDescent="0.2">
      <c r="A958" t="s">
        <v>1710</v>
      </c>
      <c r="B958" t="s">
        <v>242</v>
      </c>
      <c r="C958" t="s">
        <v>89</v>
      </c>
      <c r="D958" t="s">
        <v>239</v>
      </c>
      <c r="E958" t="s">
        <v>580</v>
      </c>
      <c r="F958" t="s">
        <v>77</v>
      </c>
      <c r="G958" t="s">
        <v>65</v>
      </c>
      <c r="H958" t="s">
        <v>66</v>
      </c>
      <c r="I958" t="s">
        <v>67</v>
      </c>
      <c r="J958" s="3">
        <v>41958</v>
      </c>
      <c r="K958">
        <v>11.1</v>
      </c>
      <c r="L958">
        <v>36</v>
      </c>
      <c r="M958" s="4">
        <v>11200</v>
      </c>
      <c r="N958" s="4">
        <v>174485</v>
      </c>
      <c r="O958" t="s">
        <v>68</v>
      </c>
      <c r="P958" t="s">
        <v>69</v>
      </c>
      <c r="Q958">
        <v>2.81</v>
      </c>
      <c r="R958">
        <v>78</v>
      </c>
      <c r="S958">
        <v>30</v>
      </c>
      <c r="T958" t="s">
        <v>69</v>
      </c>
      <c r="U958">
        <v>1</v>
      </c>
      <c r="V958">
        <v>47</v>
      </c>
      <c r="W958" t="s">
        <v>70</v>
      </c>
      <c r="X958" t="s">
        <v>68</v>
      </c>
      <c r="Y958" t="s">
        <v>71</v>
      </c>
      <c r="Z958" t="s">
        <v>89</v>
      </c>
    </row>
    <row r="959" spans="1:26" x14ac:dyDescent="0.2">
      <c r="A959" t="s">
        <v>1711</v>
      </c>
      <c r="B959" t="s">
        <v>1712</v>
      </c>
      <c r="C959" t="s">
        <v>108</v>
      </c>
      <c r="D959" t="s">
        <v>109</v>
      </c>
      <c r="E959" t="s">
        <v>600</v>
      </c>
      <c r="F959" t="s">
        <v>120</v>
      </c>
      <c r="G959" t="s">
        <v>85</v>
      </c>
      <c r="H959" t="s">
        <v>66</v>
      </c>
      <c r="I959" t="s">
        <v>67</v>
      </c>
      <c r="J959" s="3">
        <v>44833</v>
      </c>
      <c r="K959">
        <v>3.3</v>
      </c>
      <c r="L959">
        <v>53</v>
      </c>
      <c r="M959" s="4">
        <v>9500</v>
      </c>
      <c r="N959" s="4">
        <v>146039</v>
      </c>
      <c r="O959" t="s">
        <v>68</v>
      </c>
      <c r="P959" t="s">
        <v>69</v>
      </c>
      <c r="Q959">
        <v>3.03</v>
      </c>
      <c r="R959">
        <v>65</v>
      </c>
      <c r="S959">
        <v>43</v>
      </c>
      <c r="T959" t="s">
        <v>69</v>
      </c>
      <c r="U959">
        <v>4</v>
      </c>
      <c r="V959">
        <v>18</v>
      </c>
      <c r="W959" t="s">
        <v>70</v>
      </c>
      <c r="X959" t="s">
        <v>68</v>
      </c>
      <c r="Y959" t="s">
        <v>71</v>
      </c>
      <c r="Z959" t="s">
        <v>108</v>
      </c>
    </row>
    <row r="960" spans="1:26" x14ac:dyDescent="0.2">
      <c r="A960" t="s">
        <v>1713</v>
      </c>
      <c r="B960" t="s">
        <v>1714</v>
      </c>
      <c r="C960" t="s">
        <v>74</v>
      </c>
      <c r="D960" t="s">
        <v>139</v>
      </c>
      <c r="E960" t="s">
        <v>140</v>
      </c>
      <c r="F960" t="s">
        <v>64</v>
      </c>
      <c r="G960" t="s">
        <v>65</v>
      </c>
      <c r="H960" t="s">
        <v>78</v>
      </c>
      <c r="I960" t="s">
        <v>111</v>
      </c>
      <c r="J960" s="3">
        <v>45074</v>
      </c>
      <c r="K960">
        <v>2.6</v>
      </c>
      <c r="L960">
        <v>33</v>
      </c>
      <c r="M960" s="4">
        <v>4700</v>
      </c>
      <c r="N960" s="4">
        <v>69189</v>
      </c>
      <c r="O960" t="s">
        <v>68</v>
      </c>
      <c r="P960" t="s">
        <v>68</v>
      </c>
      <c r="Q960">
        <v>2.96</v>
      </c>
      <c r="R960">
        <v>62</v>
      </c>
      <c r="S960">
        <v>14</v>
      </c>
      <c r="T960" t="s">
        <v>69</v>
      </c>
      <c r="U960">
        <v>9</v>
      </c>
      <c r="V960">
        <v>41</v>
      </c>
      <c r="W960" t="s">
        <v>70</v>
      </c>
      <c r="X960" t="s">
        <v>68</v>
      </c>
      <c r="Y960" t="s">
        <v>86</v>
      </c>
      <c r="Z960" t="s">
        <v>74</v>
      </c>
    </row>
    <row r="961" spans="1:26" x14ac:dyDescent="0.2">
      <c r="A961" t="s">
        <v>1715</v>
      </c>
      <c r="B961" t="s">
        <v>1340</v>
      </c>
      <c r="C961" t="s">
        <v>74</v>
      </c>
      <c r="D961" t="s">
        <v>313</v>
      </c>
      <c r="E961" t="s">
        <v>1397</v>
      </c>
      <c r="F961" t="s">
        <v>84</v>
      </c>
      <c r="G961" t="s">
        <v>65</v>
      </c>
      <c r="H961" t="s">
        <v>66</v>
      </c>
      <c r="I961" t="s">
        <v>67</v>
      </c>
      <c r="J961" s="3">
        <v>42505</v>
      </c>
      <c r="K961">
        <v>9.6</v>
      </c>
      <c r="L961">
        <v>44</v>
      </c>
      <c r="M961" s="4">
        <v>20100</v>
      </c>
      <c r="N961" s="4">
        <v>295954</v>
      </c>
      <c r="O961" t="s">
        <v>69</v>
      </c>
      <c r="P961" t="s">
        <v>68</v>
      </c>
      <c r="Q961">
        <v>3.23</v>
      </c>
      <c r="R961">
        <v>55</v>
      </c>
      <c r="S961">
        <v>39</v>
      </c>
      <c r="T961" t="s">
        <v>69</v>
      </c>
      <c r="U961">
        <v>1</v>
      </c>
      <c r="V961">
        <v>36</v>
      </c>
      <c r="W961" t="s">
        <v>68</v>
      </c>
      <c r="X961" t="s">
        <v>68</v>
      </c>
      <c r="Y961" t="s">
        <v>86</v>
      </c>
      <c r="Z961" t="s">
        <v>74</v>
      </c>
    </row>
    <row r="962" spans="1:26" x14ac:dyDescent="0.2">
      <c r="A962" t="s">
        <v>1716</v>
      </c>
      <c r="B962" t="s">
        <v>128</v>
      </c>
      <c r="C962" t="s">
        <v>74</v>
      </c>
      <c r="D962" t="s">
        <v>75</v>
      </c>
      <c r="E962" t="s">
        <v>76</v>
      </c>
      <c r="F962" t="s">
        <v>77</v>
      </c>
      <c r="G962" t="s">
        <v>65</v>
      </c>
      <c r="H962" t="s">
        <v>78</v>
      </c>
      <c r="I962" t="s">
        <v>67</v>
      </c>
      <c r="J962" s="3">
        <v>43406</v>
      </c>
      <c r="K962">
        <v>7.2</v>
      </c>
      <c r="L962">
        <v>53</v>
      </c>
      <c r="M962" s="4">
        <v>10500</v>
      </c>
      <c r="N962" s="4">
        <v>158016</v>
      </c>
      <c r="O962" t="s">
        <v>68</v>
      </c>
      <c r="P962" t="s">
        <v>68</v>
      </c>
      <c r="Q962">
        <v>2.82</v>
      </c>
      <c r="R962">
        <v>65</v>
      </c>
      <c r="S962">
        <v>39</v>
      </c>
      <c r="T962" t="s">
        <v>69</v>
      </c>
      <c r="U962">
        <v>5</v>
      </c>
      <c r="V962">
        <v>25</v>
      </c>
      <c r="W962" t="s">
        <v>70</v>
      </c>
      <c r="X962" t="s">
        <v>68</v>
      </c>
      <c r="Y962" t="s">
        <v>71</v>
      </c>
      <c r="Z962" t="s">
        <v>74</v>
      </c>
    </row>
    <row r="963" spans="1:26" x14ac:dyDescent="0.2">
      <c r="A963" t="s">
        <v>1717</v>
      </c>
      <c r="B963" t="s">
        <v>507</v>
      </c>
      <c r="C963" t="s">
        <v>96</v>
      </c>
      <c r="D963" t="s">
        <v>234</v>
      </c>
      <c r="E963" t="s">
        <v>591</v>
      </c>
      <c r="F963" t="s">
        <v>64</v>
      </c>
      <c r="G963" t="s">
        <v>65</v>
      </c>
      <c r="H963" t="s">
        <v>78</v>
      </c>
      <c r="I963" t="s">
        <v>105</v>
      </c>
      <c r="J963" s="3">
        <v>42525</v>
      </c>
      <c r="K963">
        <v>9.6</v>
      </c>
      <c r="L963">
        <v>51</v>
      </c>
      <c r="M963" s="4">
        <v>4800</v>
      </c>
      <c r="N963" s="4">
        <v>79332</v>
      </c>
      <c r="O963" t="s">
        <v>68</v>
      </c>
      <c r="P963" t="s">
        <v>69</v>
      </c>
      <c r="Q963">
        <v>3</v>
      </c>
      <c r="R963">
        <v>73</v>
      </c>
      <c r="S963">
        <v>12</v>
      </c>
      <c r="T963" t="s">
        <v>69</v>
      </c>
      <c r="U963">
        <v>1</v>
      </c>
      <c r="V963">
        <v>0</v>
      </c>
      <c r="W963" t="s">
        <v>70</v>
      </c>
      <c r="X963" t="s">
        <v>68</v>
      </c>
      <c r="Y963" t="s">
        <v>71</v>
      </c>
      <c r="Z963" t="s">
        <v>96</v>
      </c>
    </row>
    <row r="964" spans="1:26" x14ac:dyDescent="0.2">
      <c r="A964" t="s">
        <v>1718</v>
      </c>
      <c r="B964" t="s">
        <v>638</v>
      </c>
      <c r="C964" t="s">
        <v>96</v>
      </c>
      <c r="D964" t="s">
        <v>97</v>
      </c>
      <c r="E964" t="s">
        <v>98</v>
      </c>
      <c r="F964" t="s">
        <v>77</v>
      </c>
      <c r="G964" t="s">
        <v>65</v>
      </c>
      <c r="H964" t="s">
        <v>66</v>
      </c>
      <c r="I964" t="s">
        <v>554</v>
      </c>
      <c r="J964" s="3">
        <v>45357</v>
      </c>
      <c r="K964">
        <v>1.8</v>
      </c>
      <c r="L964">
        <v>33</v>
      </c>
      <c r="M964" s="4">
        <v>9500</v>
      </c>
      <c r="N964" s="4">
        <v>150928</v>
      </c>
      <c r="O964" t="s">
        <v>68</v>
      </c>
      <c r="P964" t="s">
        <v>69</v>
      </c>
      <c r="Q964">
        <v>2.36</v>
      </c>
      <c r="R964">
        <v>63</v>
      </c>
      <c r="S964">
        <v>37</v>
      </c>
      <c r="T964" t="s">
        <v>69</v>
      </c>
      <c r="U964">
        <v>6</v>
      </c>
      <c r="V964">
        <v>15</v>
      </c>
      <c r="W964" t="s">
        <v>70</v>
      </c>
      <c r="X964" t="s">
        <v>68</v>
      </c>
      <c r="Y964" t="s">
        <v>71</v>
      </c>
      <c r="Z964" t="s">
        <v>96</v>
      </c>
    </row>
    <row r="965" spans="1:26" x14ac:dyDescent="0.2">
      <c r="A965" t="s">
        <v>1719</v>
      </c>
      <c r="B965" t="s">
        <v>680</v>
      </c>
      <c r="C965" t="s">
        <v>96</v>
      </c>
      <c r="D965" t="s">
        <v>234</v>
      </c>
      <c r="E965" t="s">
        <v>247</v>
      </c>
      <c r="F965" t="s">
        <v>92</v>
      </c>
      <c r="G965" t="s">
        <v>65</v>
      </c>
      <c r="H965" t="s">
        <v>66</v>
      </c>
      <c r="I965" t="s">
        <v>148</v>
      </c>
      <c r="J965" s="3">
        <v>41739</v>
      </c>
      <c r="K965">
        <v>11.7</v>
      </c>
      <c r="L965">
        <v>22</v>
      </c>
      <c r="M965" s="4">
        <v>4100</v>
      </c>
      <c r="N965" s="4">
        <v>59282</v>
      </c>
      <c r="O965" t="s">
        <v>68</v>
      </c>
      <c r="P965" t="s">
        <v>69</v>
      </c>
      <c r="Q965">
        <v>2.77</v>
      </c>
      <c r="R965">
        <v>53</v>
      </c>
      <c r="S965">
        <v>11</v>
      </c>
      <c r="T965" t="s">
        <v>69</v>
      </c>
      <c r="U965">
        <v>7</v>
      </c>
      <c r="V965">
        <v>15</v>
      </c>
      <c r="W965" t="s">
        <v>70</v>
      </c>
      <c r="X965" t="s">
        <v>68</v>
      </c>
      <c r="Y965" t="s">
        <v>86</v>
      </c>
      <c r="Z965" t="s">
        <v>96</v>
      </c>
    </row>
    <row r="966" spans="1:26" x14ac:dyDescent="0.2">
      <c r="A966" t="s">
        <v>1720</v>
      </c>
      <c r="B966" t="s">
        <v>132</v>
      </c>
      <c r="C966" t="s">
        <v>96</v>
      </c>
      <c r="D966" t="s">
        <v>129</v>
      </c>
      <c r="E966" t="s">
        <v>562</v>
      </c>
      <c r="F966" t="s">
        <v>77</v>
      </c>
      <c r="G966" t="s">
        <v>65</v>
      </c>
      <c r="H966" t="s">
        <v>78</v>
      </c>
      <c r="I966" t="s">
        <v>67</v>
      </c>
      <c r="J966" s="3">
        <v>45899</v>
      </c>
      <c r="K966">
        <v>0.3</v>
      </c>
      <c r="L966">
        <v>35</v>
      </c>
      <c r="M966" s="4">
        <v>10300</v>
      </c>
      <c r="N966" s="4">
        <v>159953</v>
      </c>
      <c r="O966" t="s">
        <v>68</v>
      </c>
      <c r="P966" t="s">
        <v>69</v>
      </c>
      <c r="Q966">
        <v>3.2</v>
      </c>
      <c r="R966">
        <v>63</v>
      </c>
      <c r="S966">
        <v>34</v>
      </c>
      <c r="T966" t="s">
        <v>69</v>
      </c>
      <c r="U966">
        <v>7</v>
      </c>
      <c r="V966">
        <v>13</v>
      </c>
      <c r="W966" t="s">
        <v>70</v>
      </c>
      <c r="X966" t="s">
        <v>68</v>
      </c>
      <c r="Y966" t="s">
        <v>71</v>
      </c>
      <c r="Z966" t="s">
        <v>96</v>
      </c>
    </row>
    <row r="967" spans="1:26" x14ac:dyDescent="0.2">
      <c r="A967" t="s">
        <v>1721</v>
      </c>
      <c r="B967" t="s">
        <v>642</v>
      </c>
      <c r="C967" t="s">
        <v>74</v>
      </c>
      <c r="D967" t="s">
        <v>139</v>
      </c>
      <c r="E967" t="s">
        <v>140</v>
      </c>
      <c r="F967" t="s">
        <v>64</v>
      </c>
      <c r="G967" t="s">
        <v>65</v>
      </c>
      <c r="H967" t="s">
        <v>66</v>
      </c>
      <c r="I967" t="s">
        <v>99</v>
      </c>
      <c r="J967" s="3">
        <v>40968</v>
      </c>
      <c r="K967">
        <v>13.8</v>
      </c>
      <c r="L967">
        <v>59</v>
      </c>
      <c r="M967" s="4">
        <v>5900</v>
      </c>
      <c r="N967" s="4">
        <v>91711</v>
      </c>
      <c r="O967" t="s">
        <v>68</v>
      </c>
      <c r="P967" t="s">
        <v>69</v>
      </c>
      <c r="Q967">
        <v>3.24</v>
      </c>
      <c r="R967">
        <v>72</v>
      </c>
      <c r="S967">
        <v>38</v>
      </c>
      <c r="T967" t="s">
        <v>69</v>
      </c>
      <c r="U967">
        <v>6</v>
      </c>
      <c r="V967">
        <v>42</v>
      </c>
      <c r="W967" t="s">
        <v>70</v>
      </c>
      <c r="X967" t="s">
        <v>68</v>
      </c>
      <c r="Y967" t="s">
        <v>86</v>
      </c>
      <c r="Z967" t="s">
        <v>74</v>
      </c>
    </row>
    <row r="968" spans="1:26" x14ac:dyDescent="0.2">
      <c r="A968" t="s">
        <v>1722</v>
      </c>
      <c r="B968" t="s">
        <v>485</v>
      </c>
      <c r="C968" t="s">
        <v>74</v>
      </c>
      <c r="D968" t="s">
        <v>313</v>
      </c>
      <c r="E968" t="s">
        <v>358</v>
      </c>
      <c r="F968" t="s">
        <v>120</v>
      </c>
      <c r="G968" t="s">
        <v>65</v>
      </c>
      <c r="H968" t="s">
        <v>66</v>
      </c>
      <c r="I968" t="s">
        <v>554</v>
      </c>
      <c r="J968" s="3">
        <v>43708</v>
      </c>
      <c r="K968">
        <v>6.3</v>
      </c>
      <c r="L968">
        <v>27</v>
      </c>
      <c r="M968" s="4">
        <v>8800</v>
      </c>
      <c r="N968" s="4">
        <v>136463</v>
      </c>
      <c r="O968" t="s">
        <v>68</v>
      </c>
      <c r="P968" t="s">
        <v>68</v>
      </c>
      <c r="Q968">
        <v>2.5099999999999998</v>
      </c>
      <c r="R968">
        <v>63</v>
      </c>
      <c r="S968">
        <v>28</v>
      </c>
      <c r="T968" t="s">
        <v>69</v>
      </c>
      <c r="U968">
        <v>2</v>
      </c>
      <c r="V968">
        <v>46</v>
      </c>
      <c r="W968" t="s">
        <v>70</v>
      </c>
      <c r="X968" t="s">
        <v>68</v>
      </c>
      <c r="Y968" t="s">
        <v>86</v>
      </c>
      <c r="Z968" t="s">
        <v>74</v>
      </c>
    </row>
    <row r="969" spans="1:26" x14ac:dyDescent="0.2">
      <c r="A969" t="s">
        <v>1723</v>
      </c>
      <c r="B969" t="s">
        <v>1282</v>
      </c>
      <c r="C969" t="s">
        <v>96</v>
      </c>
      <c r="D969" t="s">
        <v>129</v>
      </c>
      <c r="E969" t="s">
        <v>834</v>
      </c>
      <c r="F969" t="s">
        <v>84</v>
      </c>
      <c r="G969" t="s">
        <v>85</v>
      </c>
      <c r="H969" t="s">
        <v>66</v>
      </c>
      <c r="I969" t="s">
        <v>455</v>
      </c>
      <c r="J969" s="3">
        <v>43822</v>
      </c>
      <c r="K969">
        <v>6</v>
      </c>
      <c r="L969">
        <v>41</v>
      </c>
      <c r="M969" s="4">
        <v>20500</v>
      </c>
      <c r="N969" s="4">
        <v>295997</v>
      </c>
      <c r="O969" t="s">
        <v>69</v>
      </c>
      <c r="P969" t="s">
        <v>69</v>
      </c>
      <c r="Q969">
        <v>3.11</v>
      </c>
      <c r="R969">
        <v>48</v>
      </c>
      <c r="S969">
        <v>51</v>
      </c>
      <c r="T969" t="s">
        <v>69</v>
      </c>
      <c r="U969">
        <v>5</v>
      </c>
      <c r="V969">
        <v>6</v>
      </c>
      <c r="W969" t="s">
        <v>68</v>
      </c>
      <c r="X969" t="s">
        <v>68</v>
      </c>
      <c r="Y969" t="s">
        <v>86</v>
      </c>
      <c r="Z969" t="s">
        <v>96</v>
      </c>
    </row>
    <row r="970" spans="1:26" x14ac:dyDescent="0.2">
      <c r="A970" t="s">
        <v>1724</v>
      </c>
      <c r="B970" t="s">
        <v>457</v>
      </c>
      <c r="C970" t="s">
        <v>133</v>
      </c>
      <c r="D970" t="s">
        <v>134</v>
      </c>
      <c r="E970" t="s">
        <v>993</v>
      </c>
      <c r="F970" t="s">
        <v>77</v>
      </c>
      <c r="G970" t="s">
        <v>227</v>
      </c>
      <c r="H970" t="s">
        <v>66</v>
      </c>
      <c r="I970" t="s">
        <v>99</v>
      </c>
      <c r="J970" s="3">
        <v>41121</v>
      </c>
      <c r="K970">
        <v>13.4</v>
      </c>
      <c r="L970">
        <v>57</v>
      </c>
      <c r="M970" s="4">
        <v>13500</v>
      </c>
      <c r="N970" s="4">
        <v>209911</v>
      </c>
      <c r="O970" t="s">
        <v>68</v>
      </c>
      <c r="P970" t="s">
        <v>68</v>
      </c>
      <c r="Q970">
        <v>3.48</v>
      </c>
      <c r="R970">
        <v>69</v>
      </c>
      <c r="S970">
        <v>18</v>
      </c>
      <c r="T970" t="s">
        <v>69</v>
      </c>
      <c r="U970">
        <v>9</v>
      </c>
      <c r="V970">
        <v>5</v>
      </c>
      <c r="W970" t="s">
        <v>70</v>
      </c>
      <c r="X970" t="s">
        <v>68</v>
      </c>
      <c r="Y970" t="s">
        <v>71</v>
      </c>
      <c r="Z970" t="s">
        <v>133</v>
      </c>
    </row>
    <row r="971" spans="1:26" x14ac:dyDescent="0.2">
      <c r="A971" t="s">
        <v>1725</v>
      </c>
      <c r="B971" t="s">
        <v>843</v>
      </c>
      <c r="C971" t="s">
        <v>102</v>
      </c>
      <c r="D971" t="s">
        <v>166</v>
      </c>
      <c r="E971" t="s">
        <v>167</v>
      </c>
      <c r="F971" t="s">
        <v>136</v>
      </c>
      <c r="G971" t="s">
        <v>85</v>
      </c>
      <c r="H971" t="s">
        <v>66</v>
      </c>
      <c r="I971" t="s">
        <v>111</v>
      </c>
      <c r="J971" s="3">
        <v>43310</v>
      </c>
      <c r="K971">
        <v>7.4</v>
      </c>
      <c r="L971">
        <v>42</v>
      </c>
      <c r="M971" s="4">
        <v>16700</v>
      </c>
      <c r="N971" s="4">
        <v>257133</v>
      </c>
      <c r="O971" t="s">
        <v>68</v>
      </c>
      <c r="P971" t="s">
        <v>69</v>
      </c>
      <c r="Q971">
        <v>3.46</v>
      </c>
      <c r="R971">
        <v>57</v>
      </c>
      <c r="S971">
        <v>14</v>
      </c>
      <c r="T971" t="s">
        <v>69</v>
      </c>
      <c r="U971">
        <v>4</v>
      </c>
      <c r="V971">
        <v>45</v>
      </c>
      <c r="W971" t="s">
        <v>70</v>
      </c>
      <c r="X971" t="s">
        <v>68</v>
      </c>
      <c r="Y971" t="s">
        <v>86</v>
      </c>
      <c r="Z971" t="s">
        <v>102</v>
      </c>
    </row>
    <row r="972" spans="1:26" x14ac:dyDescent="0.2">
      <c r="A972" t="s">
        <v>1726</v>
      </c>
      <c r="B972" t="s">
        <v>1230</v>
      </c>
      <c r="C972" t="s">
        <v>108</v>
      </c>
      <c r="D972" t="s">
        <v>109</v>
      </c>
      <c r="E972" t="s">
        <v>355</v>
      </c>
      <c r="F972" t="s">
        <v>77</v>
      </c>
      <c r="G972" t="s">
        <v>65</v>
      </c>
      <c r="H972" t="s">
        <v>66</v>
      </c>
      <c r="I972" t="s">
        <v>236</v>
      </c>
      <c r="J972" s="3">
        <v>44440</v>
      </c>
      <c r="K972">
        <v>4.3</v>
      </c>
      <c r="L972">
        <v>24</v>
      </c>
      <c r="M972" s="4">
        <v>9200</v>
      </c>
      <c r="N972" s="4">
        <v>138541</v>
      </c>
      <c r="O972" t="s">
        <v>68</v>
      </c>
      <c r="P972" t="s">
        <v>69</v>
      </c>
      <c r="Q972">
        <v>2.5</v>
      </c>
      <c r="R972">
        <v>60</v>
      </c>
      <c r="S972">
        <v>44</v>
      </c>
      <c r="T972" t="s">
        <v>69</v>
      </c>
      <c r="U972">
        <v>2</v>
      </c>
      <c r="V972">
        <v>12</v>
      </c>
      <c r="W972" t="s">
        <v>70</v>
      </c>
      <c r="X972" t="s">
        <v>68</v>
      </c>
      <c r="Y972" t="s">
        <v>71</v>
      </c>
      <c r="Z972" t="s">
        <v>108</v>
      </c>
    </row>
    <row r="973" spans="1:26" x14ac:dyDescent="0.2">
      <c r="A973" t="s">
        <v>1727</v>
      </c>
      <c r="B973" t="s">
        <v>1728</v>
      </c>
      <c r="C973" t="s">
        <v>96</v>
      </c>
      <c r="D973" t="s">
        <v>129</v>
      </c>
      <c r="E973" t="s">
        <v>501</v>
      </c>
      <c r="F973" t="s">
        <v>64</v>
      </c>
      <c r="G973" t="s">
        <v>65</v>
      </c>
      <c r="H973" t="s">
        <v>66</v>
      </c>
      <c r="I973" t="s">
        <v>67</v>
      </c>
      <c r="J973" s="3">
        <v>41067</v>
      </c>
      <c r="K973">
        <v>13.6</v>
      </c>
      <c r="L973">
        <v>29</v>
      </c>
      <c r="M973" s="4">
        <v>7000</v>
      </c>
      <c r="N973" s="4">
        <v>102019</v>
      </c>
      <c r="O973" t="s">
        <v>68</v>
      </c>
      <c r="P973" t="s">
        <v>69</v>
      </c>
      <c r="Q973">
        <v>3.2</v>
      </c>
      <c r="R973">
        <v>72</v>
      </c>
      <c r="S973">
        <v>18</v>
      </c>
      <c r="T973" t="s">
        <v>69</v>
      </c>
      <c r="U973">
        <v>0</v>
      </c>
      <c r="V973">
        <v>5</v>
      </c>
      <c r="W973" t="s">
        <v>70</v>
      </c>
      <c r="X973" t="s">
        <v>68</v>
      </c>
      <c r="Y973" t="s">
        <v>71</v>
      </c>
      <c r="Z973" t="s">
        <v>96</v>
      </c>
    </row>
    <row r="974" spans="1:26" x14ac:dyDescent="0.2">
      <c r="A974" t="s">
        <v>1729</v>
      </c>
      <c r="B974" t="s">
        <v>335</v>
      </c>
      <c r="C974" t="s">
        <v>74</v>
      </c>
      <c r="D974" t="s">
        <v>118</v>
      </c>
      <c r="E974" t="s">
        <v>1053</v>
      </c>
      <c r="F974" t="s">
        <v>92</v>
      </c>
      <c r="G974" t="s">
        <v>65</v>
      </c>
      <c r="H974" t="s">
        <v>78</v>
      </c>
      <c r="I974" t="s">
        <v>148</v>
      </c>
      <c r="J974" s="3">
        <v>43974</v>
      </c>
      <c r="K974">
        <v>5.6</v>
      </c>
      <c r="L974">
        <v>34</v>
      </c>
      <c r="M974" s="4">
        <v>4200</v>
      </c>
      <c r="N974" s="4">
        <v>68970</v>
      </c>
      <c r="O974" t="s">
        <v>68</v>
      </c>
      <c r="P974" t="s">
        <v>68</v>
      </c>
      <c r="Q974">
        <v>1.95</v>
      </c>
      <c r="R974">
        <v>65</v>
      </c>
      <c r="S974">
        <v>43</v>
      </c>
      <c r="T974" t="s">
        <v>69</v>
      </c>
      <c r="U974">
        <v>5</v>
      </c>
      <c r="V974">
        <v>7</v>
      </c>
      <c r="W974" t="s">
        <v>70</v>
      </c>
      <c r="X974" t="s">
        <v>68</v>
      </c>
      <c r="Y974" t="s">
        <v>71</v>
      </c>
      <c r="Z974" t="s">
        <v>74</v>
      </c>
    </row>
    <row r="975" spans="1:26" x14ac:dyDescent="0.2">
      <c r="A975" t="s">
        <v>1730</v>
      </c>
      <c r="B975" t="s">
        <v>193</v>
      </c>
      <c r="C975" t="s">
        <v>143</v>
      </c>
      <c r="D975" t="s">
        <v>158</v>
      </c>
      <c r="E975" t="s">
        <v>950</v>
      </c>
      <c r="F975" t="s">
        <v>77</v>
      </c>
      <c r="G975" t="s">
        <v>65</v>
      </c>
      <c r="H975" t="s">
        <v>66</v>
      </c>
      <c r="I975" t="s">
        <v>99</v>
      </c>
      <c r="J975" s="3">
        <v>44027</v>
      </c>
      <c r="K975">
        <v>5.5</v>
      </c>
      <c r="L975">
        <v>33</v>
      </c>
      <c r="M975" s="4">
        <v>10200</v>
      </c>
      <c r="N975" s="4">
        <v>155260</v>
      </c>
      <c r="O975" t="s">
        <v>68</v>
      </c>
      <c r="P975" t="s">
        <v>69</v>
      </c>
      <c r="Q975">
        <v>3.42</v>
      </c>
      <c r="R975">
        <v>67</v>
      </c>
      <c r="S975">
        <v>47</v>
      </c>
      <c r="T975" t="s">
        <v>69</v>
      </c>
      <c r="U975">
        <v>6</v>
      </c>
      <c r="V975">
        <v>3</v>
      </c>
      <c r="W975" t="s">
        <v>70</v>
      </c>
      <c r="X975" t="s">
        <v>68</v>
      </c>
      <c r="Y975" t="s">
        <v>71</v>
      </c>
      <c r="Z975" t="s">
        <v>143</v>
      </c>
    </row>
    <row r="976" spans="1:26" x14ac:dyDescent="0.2">
      <c r="A976" t="s">
        <v>1731</v>
      </c>
      <c r="B976" t="s">
        <v>1058</v>
      </c>
      <c r="C976" t="s">
        <v>61</v>
      </c>
      <c r="D976" t="s">
        <v>604</v>
      </c>
      <c r="E976" t="s">
        <v>792</v>
      </c>
      <c r="F976" t="s">
        <v>120</v>
      </c>
      <c r="G976" t="s">
        <v>227</v>
      </c>
      <c r="H976" t="s">
        <v>66</v>
      </c>
      <c r="I976" t="s">
        <v>67</v>
      </c>
      <c r="J976" s="3">
        <v>44378</v>
      </c>
      <c r="K976">
        <v>4.5</v>
      </c>
      <c r="L976">
        <v>31</v>
      </c>
      <c r="M976" s="4">
        <v>8700</v>
      </c>
      <c r="N976" s="4">
        <v>142529</v>
      </c>
      <c r="O976" t="s">
        <v>68</v>
      </c>
      <c r="P976" t="s">
        <v>69</v>
      </c>
      <c r="Q976">
        <v>3.43</v>
      </c>
      <c r="R976">
        <v>67</v>
      </c>
      <c r="S976">
        <v>26</v>
      </c>
      <c r="T976" t="s">
        <v>69</v>
      </c>
      <c r="U976">
        <v>0</v>
      </c>
      <c r="V976">
        <v>2</v>
      </c>
      <c r="W976" t="s">
        <v>70</v>
      </c>
      <c r="X976" t="s">
        <v>68</v>
      </c>
      <c r="Y976" t="s">
        <v>71</v>
      </c>
      <c r="Z976" t="s">
        <v>61</v>
      </c>
    </row>
    <row r="977" spans="1:26" x14ac:dyDescent="0.2">
      <c r="A977" t="s">
        <v>1732</v>
      </c>
      <c r="B977" t="s">
        <v>740</v>
      </c>
      <c r="C977" t="s">
        <v>96</v>
      </c>
      <c r="D977" t="s">
        <v>234</v>
      </c>
      <c r="E977" t="s">
        <v>591</v>
      </c>
      <c r="F977" t="s">
        <v>64</v>
      </c>
      <c r="G977" t="s">
        <v>65</v>
      </c>
      <c r="H977" t="s">
        <v>66</v>
      </c>
      <c r="I977" t="s">
        <v>115</v>
      </c>
      <c r="J977" s="3">
        <v>42116</v>
      </c>
      <c r="K977">
        <v>10.7</v>
      </c>
      <c r="L977">
        <v>57</v>
      </c>
      <c r="M977" s="4">
        <v>7800</v>
      </c>
      <c r="N977" s="4">
        <v>116420</v>
      </c>
      <c r="O977" t="s">
        <v>68</v>
      </c>
      <c r="P977" t="s">
        <v>69</v>
      </c>
      <c r="Q977">
        <v>4</v>
      </c>
      <c r="R977">
        <v>67</v>
      </c>
      <c r="S977">
        <v>18</v>
      </c>
      <c r="T977" t="s">
        <v>68</v>
      </c>
      <c r="U977">
        <v>11</v>
      </c>
      <c r="V977">
        <v>15</v>
      </c>
      <c r="W977" t="s">
        <v>70</v>
      </c>
      <c r="X977" t="s">
        <v>69</v>
      </c>
      <c r="Y977" t="s">
        <v>71</v>
      </c>
      <c r="Z977" t="s">
        <v>96</v>
      </c>
    </row>
    <row r="978" spans="1:26" x14ac:dyDescent="0.2">
      <c r="A978" t="s">
        <v>1733</v>
      </c>
      <c r="B978" t="s">
        <v>584</v>
      </c>
      <c r="C978" t="s">
        <v>89</v>
      </c>
      <c r="D978" t="s">
        <v>239</v>
      </c>
      <c r="E978" t="s">
        <v>372</v>
      </c>
      <c r="F978" t="s">
        <v>120</v>
      </c>
      <c r="G978" t="s">
        <v>65</v>
      </c>
      <c r="H978" t="s">
        <v>66</v>
      </c>
      <c r="I978" t="s">
        <v>79</v>
      </c>
      <c r="J978" s="3">
        <v>43996</v>
      </c>
      <c r="K978">
        <v>5.6</v>
      </c>
      <c r="L978">
        <v>43</v>
      </c>
      <c r="M978" s="4">
        <v>6800</v>
      </c>
      <c r="N978" s="4">
        <v>105050</v>
      </c>
      <c r="O978" t="s">
        <v>68</v>
      </c>
      <c r="P978" t="s">
        <v>69</v>
      </c>
      <c r="Q978">
        <v>2.87</v>
      </c>
      <c r="R978">
        <v>63</v>
      </c>
      <c r="S978">
        <v>15</v>
      </c>
      <c r="T978" t="s">
        <v>69</v>
      </c>
      <c r="U978">
        <v>6</v>
      </c>
      <c r="V978">
        <v>19</v>
      </c>
      <c r="W978" t="s">
        <v>70</v>
      </c>
      <c r="X978" t="s">
        <v>68</v>
      </c>
      <c r="Y978" t="s">
        <v>71</v>
      </c>
      <c r="Z978" t="s">
        <v>89</v>
      </c>
    </row>
    <row r="979" spans="1:26" x14ac:dyDescent="0.2">
      <c r="A979" t="s">
        <v>1734</v>
      </c>
      <c r="B979" t="s">
        <v>743</v>
      </c>
      <c r="C979" t="s">
        <v>89</v>
      </c>
      <c r="D979" t="s">
        <v>230</v>
      </c>
      <c r="E979" t="s">
        <v>549</v>
      </c>
      <c r="F979" t="s">
        <v>120</v>
      </c>
      <c r="G979" t="s">
        <v>65</v>
      </c>
      <c r="H979" t="s">
        <v>78</v>
      </c>
      <c r="I979" t="s">
        <v>99</v>
      </c>
      <c r="J979" s="3">
        <v>43784</v>
      </c>
      <c r="K979">
        <v>6.1</v>
      </c>
      <c r="L979">
        <v>59</v>
      </c>
      <c r="M979" s="4">
        <v>9000</v>
      </c>
      <c r="N979" s="4">
        <v>142492</v>
      </c>
      <c r="O979" t="s">
        <v>68</v>
      </c>
      <c r="P979" t="s">
        <v>69</v>
      </c>
      <c r="Q979">
        <v>3.37</v>
      </c>
      <c r="R979">
        <v>54</v>
      </c>
      <c r="S979">
        <v>31</v>
      </c>
      <c r="T979" t="s">
        <v>69</v>
      </c>
      <c r="U979">
        <v>4</v>
      </c>
      <c r="V979">
        <v>55</v>
      </c>
      <c r="W979" t="s">
        <v>70</v>
      </c>
      <c r="X979" t="s">
        <v>68</v>
      </c>
      <c r="Y979" t="s">
        <v>86</v>
      </c>
      <c r="Z979" t="s">
        <v>89</v>
      </c>
    </row>
    <row r="980" spans="1:26" x14ac:dyDescent="0.2">
      <c r="A980" t="s">
        <v>1735</v>
      </c>
      <c r="B980" t="s">
        <v>1075</v>
      </c>
      <c r="C980" t="s">
        <v>102</v>
      </c>
      <c r="D980" t="s">
        <v>183</v>
      </c>
      <c r="E980" t="s">
        <v>965</v>
      </c>
      <c r="F980" t="s">
        <v>136</v>
      </c>
      <c r="G980" t="s">
        <v>65</v>
      </c>
      <c r="H980" t="s">
        <v>66</v>
      </c>
      <c r="I980" t="s">
        <v>67</v>
      </c>
      <c r="J980" s="3">
        <v>45878</v>
      </c>
      <c r="K980">
        <v>0.4</v>
      </c>
      <c r="L980">
        <v>47</v>
      </c>
      <c r="M980" s="4">
        <v>19500</v>
      </c>
      <c r="N980" s="4">
        <v>280609</v>
      </c>
      <c r="O980" t="s">
        <v>68</v>
      </c>
      <c r="P980" t="s">
        <v>69</v>
      </c>
      <c r="Q980">
        <v>2.85</v>
      </c>
      <c r="R980">
        <v>48</v>
      </c>
      <c r="S980">
        <v>2</v>
      </c>
      <c r="T980" t="s">
        <v>69</v>
      </c>
      <c r="U980">
        <v>9</v>
      </c>
      <c r="V980">
        <v>26</v>
      </c>
      <c r="W980" t="s">
        <v>70</v>
      </c>
      <c r="X980" t="s">
        <v>68</v>
      </c>
      <c r="Y980" t="s">
        <v>86</v>
      </c>
      <c r="Z980" t="s">
        <v>102</v>
      </c>
    </row>
    <row r="981" spans="1:26" x14ac:dyDescent="0.2">
      <c r="A981" t="s">
        <v>1736</v>
      </c>
      <c r="B981" t="s">
        <v>582</v>
      </c>
      <c r="C981" t="s">
        <v>74</v>
      </c>
      <c r="D981" t="s">
        <v>75</v>
      </c>
      <c r="E981" t="s">
        <v>728</v>
      </c>
      <c r="F981" t="s">
        <v>174</v>
      </c>
      <c r="G981" t="s">
        <v>65</v>
      </c>
      <c r="H981" t="s">
        <v>78</v>
      </c>
      <c r="I981" t="s">
        <v>148</v>
      </c>
      <c r="J981" s="3">
        <v>45439</v>
      </c>
      <c r="K981">
        <v>1.6</v>
      </c>
      <c r="L981">
        <v>44</v>
      </c>
      <c r="M981" s="4">
        <v>26500</v>
      </c>
      <c r="N981" s="4">
        <v>418537</v>
      </c>
      <c r="O981" t="s">
        <v>69</v>
      </c>
      <c r="P981" t="s">
        <v>68</v>
      </c>
      <c r="Q981">
        <v>3.74</v>
      </c>
      <c r="R981">
        <v>83</v>
      </c>
      <c r="S981">
        <v>30</v>
      </c>
      <c r="T981" t="s">
        <v>69</v>
      </c>
      <c r="U981">
        <v>13</v>
      </c>
      <c r="V981">
        <v>24</v>
      </c>
      <c r="W981" t="s">
        <v>68</v>
      </c>
      <c r="X981" t="s">
        <v>69</v>
      </c>
      <c r="Y981" t="s">
        <v>71</v>
      </c>
      <c r="Z981" t="s">
        <v>74</v>
      </c>
    </row>
    <row r="982" spans="1:26" x14ac:dyDescent="0.2">
      <c r="A982" t="s">
        <v>1737</v>
      </c>
      <c r="B982" t="s">
        <v>602</v>
      </c>
      <c r="C982" t="s">
        <v>61</v>
      </c>
      <c r="D982" t="s">
        <v>177</v>
      </c>
      <c r="E982" t="s">
        <v>1127</v>
      </c>
      <c r="F982" t="s">
        <v>84</v>
      </c>
      <c r="G982" t="s">
        <v>215</v>
      </c>
      <c r="H982" t="s">
        <v>78</v>
      </c>
      <c r="I982" t="s">
        <v>148</v>
      </c>
      <c r="J982" s="3">
        <v>42163</v>
      </c>
      <c r="K982">
        <v>10.6</v>
      </c>
      <c r="L982">
        <v>29</v>
      </c>
      <c r="M982" s="4">
        <v>16600</v>
      </c>
      <c r="N982" s="4">
        <v>250103</v>
      </c>
      <c r="O982" t="s">
        <v>69</v>
      </c>
      <c r="P982" t="s">
        <v>68</v>
      </c>
      <c r="Q982">
        <v>2.97</v>
      </c>
      <c r="R982">
        <v>47</v>
      </c>
      <c r="S982">
        <v>25</v>
      </c>
      <c r="T982" t="s">
        <v>69</v>
      </c>
      <c r="U982">
        <v>0</v>
      </c>
      <c r="V982">
        <v>0</v>
      </c>
      <c r="W982" t="s">
        <v>69</v>
      </c>
      <c r="X982" t="s">
        <v>68</v>
      </c>
      <c r="Y982" t="s">
        <v>71</v>
      </c>
      <c r="Z982" t="s">
        <v>61</v>
      </c>
    </row>
    <row r="983" spans="1:26" x14ac:dyDescent="0.2">
      <c r="A983" t="s">
        <v>1738</v>
      </c>
      <c r="B983" t="s">
        <v>390</v>
      </c>
      <c r="C983" t="s">
        <v>102</v>
      </c>
      <c r="D983" t="s">
        <v>339</v>
      </c>
      <c r="E983" t="s">
        <v>523</v>
      </c>
      <c r="F983" t="s">
        <v>136</v>
      </c>
      <c r="G983" t="s">
        <v>65</v>
      </c>
      <c r="H983" t="s">
        <v>66</v>
      </c>
      <c r="I983" t="s">
        <v>99</v>
      </c>
      <c r="J983" s="3">
        <v>41299</v>
      </c>
      <c r="K983">
        <v>12.9</v>
      </c>
      <c r="L983">
        <v>56</v>
      </c>
      <c r="M983" s="4">
        <v>16000</v>
      </c>
      <c r="N983" s="4">
        <v>226696</v>
      </c>
      <c r="O983" t="s">
        <v>69</v>
      </c>
      <c r="P983" t="s">
        <v>69</v>
      </c>
      <c r="Q983">
        <v>3.33</v>
      </c>
      <c r="R983">
        <v>68</v>
      </c>
      <c r="S983">
        <v>9</v>
      </c>
      <c r="T983" t="s">
        <v>69</v>
      </c>
      <c r="U983">
        <v>5</v>
      </c>
      <c r="V983">
        <v>15</v>
      </c>
      <c r="W983" t="s">
        <v>68</v>
      </c>
      <c r="X983" t="s">
        <v>68</v>
      </c>
      <c r="Y983" t="s">
        <v>71</v>
      </c>
      <c r="Z983" t="s">
        <v>102</v>
      </c>
    </row>
    <row r="984" spans="1:26" x14ac:dyDescent="0.2">
      <c r="A984" t="s">
        <v>1739</v>
      </c>
      <c r="B984" t="s">
        <v>582</v>
      </c>
      <c r="C984" t="s">
        <v>12</v>
      </c>
      <c r="D984" t="s">
        <v>200</v>
      </c>
      <c r="E984" t="s">
        <v>201</v>
      </c>
      <c r="F984" t="s">
        <v>174</v>
      </c>
      <c r="G984" t="s">
        <v>215</v>
      </c>
      <c r="H984" t="s">
        <v>78</v>
      </c>
      <c r="I984" t="s">
        <v>111</v>
      </c>
      <c r="J984" s="3">
        <v>41503</v>
      </c>
      <c r="K984">
        <v>12.4</v>
      </c>
      <c r="L984">
        <v>26</v>
      </c>
      <c r="M984" s="4">
        <v>25500</v>
      </c>
      <c r="N984" s="4">
        <v>372687</v>
      </c>
      <c r="O984" t="s">
        <v>69</v>
      </c>
      <c r="P984" t="s">
        <v>69</v>
      </c>
      <c r="Q984">
        <v>3.71</v>
      </c>
      <c r="R984">
        <v>77</v>
      </c>
      <c r="S984">
        <v>43</v>
      </c>
      <c r="T984" t="s">
        <v>69</v>
      </c>
      <c r="U984">
        <v>2</v>
      </c>
      <c r="V984">
        <v>11</v>
      </c>
      <c r="W984" t="s">
        <v>69</v>
      </c>
      <c r="X984" t="s">
        <v>69</v>
      </c>
      <c r="Y984" t="s">
        <v>71</v>
      </c>
      <c r="Z984" t="s">
        <v>12</v>
      </c>
    </row>
    <row r="985" spans="1:26" x14ac:dyDescent="0.2">
      <c r="A985" t="s">
        <v>1740</v>
      </c>
      <c r="B985" t="s">
        <v>306</v>
      </c>
      <c r="C985" t="s">
        <v>143</v>
      </c>
      <c r="D985" t="s">
        <v>158</v>
      </c>
      <c r="E985" t="s">
        <v>950</v>
      </c>
      <c r="F985" t="s">
        <v>77</v>
      </c>
      <c r="G985" t="s">
        <v>65</v>
      </c>
      <c r="H985" t="s">
        <v>66</v>
      </c>
      <c r="I985" t="s">
        <v>67</v>
      </c>
      <c r="J985" s="3">
        <v>42046</v>
      </c>
      <c r="K985">
        <v>10.9</v>
      </c>
      <c r="L985">
        <v>51</v>
      </c>
      <c r="M985" s="4">
        <v>12700</v>
      </c>
      <c r="N985" s="4">
        <v>207245</v>
      </c>
      <c r="O985" t="s">
        <v>68</v>
      </c>
      <c r="P985" t="s">
        <v>69</v>
      </c>
      <c r="Q985">
        <v>3.17</v>
      </c>
      <c r="R985">
        <v>70</v>
      </c>
      <c r="S985">
        <v>12</v>
      </c>
      <c r="T985" t="s">
        <v>69</v>
      </c>
      <c r="U985">
        <v>2</v>
      </c>
      <c r="V985">
        <v>0</v>
      </c>
      <c r="W985" t="s">
        <v>70</v>
      </c>
      <c r="X985" t="s">
        <v>68</v>
      </c>
      <c r="Y985" t="s">
        <v>71</v>
      </c>
      <c r="Z985" t="s">
        <v>143</v>
      </c>
    </row>
    <row r="986" spans="1:26" x14ac:dyDescent="0.2">
      <c r="A986" t="s">
        <v>1741</v>
      </c>
      <c r="B986" t="s">
        <v>165</v>
      </c>
      <c r="C986" t="s">
        <v>96</v>
      </c>
      <c r="D986" t="s">
        <v>234</v>
      </c>
      <c r="E986" t="s">
        <v>235</v>
      </c>
      <c r="F986" t="s">
        <v>77</v>
      </c>
      <c r="G986" t="s">
        <v>65</v>
      </c>
      <c r="H986" t="s">
        <v>78</v>
      </c>
      <c r="I986" t="s">
        <v>148</v>
      </c>
      <c r="J986" s="3">
        <v>41941</v>
      </c>
      <c r="K986">
        <v>11.2</v>
      </c>
      <c r="L986">
        <v>60</v>
      </c>
      <c r="M986" s="4">
        <v>12300</v>
      </c>
      <c r="N986" s="4">
        <v>184296</v>
      </c>
      <c r="O986" t="s">
        <v>68</v>
      </c>
      <c r="P986" t="s">
        <v>69</v>
      </c>
      <c r="Q986">
        <v>3.43</v>
      </c>
      <c r="R986">
        <v>70</v>
      </c>
      <c r="S986">
        <v>26</v>
      </c>
      <c r="T986" t="s">
        <v>68</v>
      </c>
      <c r="U986">
        <v>7</v>
      </c>
      <c r="V986">
        <v>40</v>
      </c>
      <c r="W986" t="s">
        <v>70</v>
      </c>
      <c r="X986" t="s">
        <v>68</v>
      </c>
      <c r="Y986" t="s">
        <v>71</v>
      </c>
      <c r="Z986" t="s">
        <v>96</v>
      </c>
    </row>
    <row r="987" spans="1:26" x14ac:dyDescent="0.2">
      <c r="A987" t="s">
        <v>1742</v>
      </c>
      <c r="B987" t="s">
        <v>766</v>
      </c>
      <c r="C987" t="s">
        <v>143</v>
      </c>
      <c r="D987" t="s">
        <v>552</v>
      </c>
      <c r="E987" t="s">
        <v>1609</v>
      </c>
      <c r="F987" t="s">
        <v>136</v>
      </c>
      <c r="G987" t="s">
        <v>85</v>
      </c>
      <c r="H987" t="s">
        <v>78</v>
      </c>
      <c r="I987" t="s">
        <v>93</v>
      </c>
      <c r="J987" s="3">
        <v>44484</v>
      </c>
      <c r="K987">
        <v>4.2</v>
      </c>
      <c r="L987">
        <v>57</v>
      </c>
      <c r="M987" s="4">
        <v>14500</v>
      </c>
      <c r="N987" s="4">
        <v>214067</v>
      </c>
      <c r="O987" t="s">
        <v>68</v>
      </c>
      <c r="P987" t="s">
        <v>69</v>
      </c>
      <c r="Q987">
        <v>2.84</v>
      </c>
      <c r="R987">
        <v>71</v>
      </c>
      <c r="S987">
        <v>32</v>
      </c>
      <c r="T987" t="s">
        <v>69</v>
      </c>
      <c r="U987">
        <v>0</v>
      </c>
      <c r="V987">
        <v>15</v>
      </c>
      <c r="W987" t="s">
        <v>70</v>
      </c>
      <c r="X987" t="s">
        <v>68</v>
      </c>
      <c r="Y987" t="s">
        <v>71</v>
      </c>
      <c r="Z987" t="s">
        <v>143</v>
      </c>
    </row>
    <row r="988" spans="1:26" x14ac:dyDescent="0.2">
      <c r="A988" t="s">
        <v>1743</v>
      </c>
      <c r="B988" t="s">
        <v>576</v>
      </c>
      <c r="C988" t="s">
        <v>133</v>
      </c>
      <c r="D988" t="s">
        <v>213</v>
      </c>
      <c r="E988" t="s">
        <v>463</v>
      </c>
      <c r="F988" t="s">
        <v>120</v>
      </c>
      <c r="G988" t="s">
        <v>65</v>
      </c>
      <c r="H988" t="s">
        <v>78</v>
      </c>
      <c r="I988" t="s">
        <v>111</v>
      </c>
      <c r="J988" s="3">
        <v>42019</v>
      </c>
      <c r="K988">
        <v>11</v>
      </c>
      <c r="L988">
        <v>26</v>
      </c>
      <c r="M988" s="4">
        <v>7500</v>
      </c>
      <c r="N988" s="4">
        <v>107919</v>
      </c>
      <c r="O988" t="s">
        <v>68</v>
      </c>
      <c r="P988" t="s">
        <v>68</v>
      </c>
      <c r="Q988">
        <v>3.37</v>
      </c>
      <c r="R988">
        <v>77</v>
      </c>
      <c r="S988">
        <v>36</v>
      </c>
      <c r="T988" t="s">
        <v>69</v>
      </c>
      <c r="U988">
        <v>3</v>
      </c>
      <c r="V988">
        <v>37</v>
      </c>
      <c r="W988" t="s">
        <v>70</v>
      </c>
      <c r="X988" t="s">
        <v>68</v>
      </c>
      <c r="Y988" t="s">
        <v>71</v>
      </c>
      <c r="Z988" t="s">
        <v>133</v>
      </c>
    </row>
    <row r="989" spans="1:26" x14ac:dyDescent="0.2">
      <c r="A989" t="s">
        <v>1744</v>
      </c>
      <c r="B989" t="s">
        <v>383</v>
      </c>
      <c r="C989" t="s">
        <v>108</v>
      </c>
      <c r="D989" t="s">
        <v>194</v>
      </c>
      <c r="E989" t="s">
        <v>195</v>
      </c>
      <c r="F989" t="s">
        <v>64</v>
      </c>
      <c r="G989" t="s">
        <v>65</v>
      </c>
      <c r="H989" t="s">
        <v>78</v>
      </c>
      <c r="I989" t="s">
        <v>93</v>
      </c>
      <c r="J989" s="3">
        <v>40990</v>
      </c>
      <c r="K989">
        <v>13.8</v>
      </c>
      <c r="L989">
        <v>48</v>
      </c>
      <c r="M989" s="4">
        <v>6900</v>
      </c>
      <c r="N989" s="4">
        <v>106340</v>
      </c>
      <c r="O989" t="s">
        <v>68</v>
      </c>
      <c r="P989" t="s">
        <v>69</v>
      </c>
      <c r="Q989">
        <v>3.1</v>
      </c>
      <c r="R989">
        <v>57</v>
      </c>
      <c r="S989">
        <v>8</v>
      </c>
      <c r="T989" t="s">
        <v>68</v>
      </c>
      <c r="U989">
        <v>0</v>
      </c>
      <c r="V989">
        <v>14</v>
      </c>
      <c r="W989" t="s">
        <v>70</v>
      </c>
      <c r="X989" t="s">
        <v>68</v>
      </c>
      <c r="Y989" t="s">
        <v>86</v>
      </c>
      <c r="Z989" t="s">
        <v>108</v>
      </c>
    </row>
    <row r="990" spans="1:26" x14ac:dyDescent="0.2">
      <c r="A990" t="s">
        <v>1745</v>
      </c>
      <c r="B990" t="s">
        <v>128</v>
      </c>
      <c r="C990" t="s">
        <v>133</v>
      </c>
      <c r="D990" t="s">
        <v>287</v>
      </c>
      <c r="E990" t="s">
        <v>288</v>
      </c>
      <c r="F990" t="s">
        <v>64</v>
      </c>
      <c r="G990" t="s">
        <v>65</v>
      </c>
      <c r="H990" t="s">
        <v>66</v>
      </c>
      <c r="I990" t="s">
        <v>93</v>
      </c>
      <c r="J990" s="3">
        <v>44780</v>
      </c>
      <c r="K990">
        <v>3.4</v>
      </c>
      <c r="L990">
        <v>35</v>
      </c>
      <c r="M990" s="4">
        <v>6700</v>
      </c>
      <c r="N990" s="4">
        <v>98020</v>
      </c>
      <c r="O990" t="s">
        <v>69</v>
      </c>
      <c r="P990" t="s">
        <v>68</v>
      </c>
      <c r="Q990">
        <v>3.75</v>
      </c>
      <c r="R990">
        <v>68</v>
      </c>
      <c r="S990">
        <v>30</v>
      </c>
      <c r="T990" t="s">
        <v>69</v>
      </c>
      <c r="U990">
        <v>8</v>
      </c>
      <c r="V990">
        <v>29</v>
      </c>
      <c r="W990" t="s">
        <v>68</v>
      </c>
      <c r="X990" t="s">
        <v>69</v>
      </c>
      <c r="Y990" t="s">
        <v>71</v>
      </c>
      <c r="Z990" t="s">
        <v>133</v>
      </c>
    </row>
    <row r="991" spans="1:26" x14ac:dyDescent="0.2">
      <c r="A991" t="s">
        <v>1746</v>
      </c>
      <c r="B991" t="s">
        <v>1256</v>
      </c>
      <c r="C991" t="s">
        <v>102</v>
      </c>
      <c r="D991" t="s">
        <v>103</v>
      </c>
      <c r="E991" t="s">
        <v>503</v>
      </c>
      <c r="F991" t="s">
        <v>136</v>
      </c>
      <c r="G991" t="s">
        <v>65</v>
      </c>
      <c r="H991" t="s">
        <v>66</v>
      </c>
      <c r="I991" t="s">
        <v>148</v>
      </c>
      <c r="J991" s="3">
        <v>42361</v>
      </c>
      <c r="K991">
        <v>10</v>
      </c>
      <c r="L991">
        <v>37</v>
      </c>
      <c r="M991" s="4">
        <v>18100</v>
      </c>
      <c r="N991" s="4">
        <v>273291</v>
      </c>
      <c r="O991" t="s">
        <v>68</v>
      </c>
      <c r="P991" t="s">
        <v>69</v>
      </c>
      <c r="Q991">
        <v>3.26</v>
      </c>
      <c r="R991">
        <v>75</v>
      </c>
      <c r="S991">
        <v>15</v>
      </c>
      <c r="T991" t="s">
        <v>69</v>
      </c>
      <c r="U991">
        <v>9</v>
      </c>
      <c r="V991">
        <v>48</v>
      </c>
      <c r="W991" t="s">
        <v>70</v>
      </c>
      <c r="X991" t="s">
        <v>68</v>
      </c>
      <c r="Y991" t="s">
        <v>71</v>
      </c>
      <c r="Z991" t="s">
        <v>102</v>
      </c>
    </row>
    <row r="992" spans="1:26" x14ac:dyDescent="0.2">
      <c r="A992" t="s">
        <v>1747</v>
      </c>
      <c r="B992" t="s">
        <v>1598</v>
      </c>
      <c r="C992" t="s">
        <v>89</v>
      </c>
      <c r="D992" t="s">
        <v>230</v>
      </c>
      <c r="E992" t="s">
        <v>549</v>
      </c>
      <c r="F992" t="s">
        <v>120</v>
      </c>
      <c r="G992" t="s">
        <v>65</v>
      </c>
      <c r="H992" t="s">
        <v>66</v>
      </c>
      <c r="I992" t="s">
        <v>99</v>
      </c>
      <c r="J992" s="3">
        <v>44221</v>
      </c>
      <c r="K992">
        <v>4.9000000000000004</v>
      </c>
      <c r="L992">
        <v>54</v>
      </c>
      <c r="M992" s="4">
        <v>8100</v>
      </c>
      <c r="N992" s="4">
        <v>121760</v>
      </c>
      <c r="O992" t="s">
        <v>68</v>
      </c>
      <c r="P992" t="s">
        <v>69</v>
      </c>
      <c r="Q992">
        <v>3.45</v>
      </c>
      <c r="R992">
        <v>61</v>
      </c>
      <c r="S992">
        <v>27</v>
      </c>
      <c r="T992" t="s">
        <v>69</v>
      </c>
      <c r="U992">
        <v>2</v>
      </c>
      <c r="V992">
        <v>34</v>
      </c>
      <c r="W992" t="s">
        <v>70</v>
      </c>
      <c r="X992" t="s">
        <v>68</v>
      </c>
      <c r="Y992" t="s">
        <v>71</v>
      </c>
      <c r="Z992" t="s">
        <v>89</v>
      </c>
    </row>
    <row r="993" spans="1:26" x14ac:dyDescent="0.2">
      <c r="A993" t="s">
        <v>1748</v>
      </c>
      <c r="B993" t="s">
        <v>471</v>
      </c>
      <c r="C993" t="s">
        <v>102</v>
      </c>
      <c r="D993" t="s">
        <v>103</v>
      </c>
      <c r="E993" t="s">
        <v>458</v>
      </c>
      <c r="F993" t="s">
        <v>77</v>
      </c>
      <c r="G993" t="s">
        <v>65</v>
      </c>
      <c r="H993" t="s">
        <v>66</v>
      </c>
      <c r="I993" t="s">
        <v>99</v>
      </c>
      <c r="J993" s="3">
        <v>42375</v>
      </c>
      <c r="K993">
        <v>10</v>
      </c>
      <c r="L993">
        <v>52</v>
      </c>
      <c r="M993" s="4">
        <v>11200</v>
      </c>
      <c r="N993" s="4">
        <v>182821</v>
      </c>
      <c r="O993" t="s">
        <v>68</v>
      </c>
      <c r="P993" t="s">
        <v>69</v>
      </c>
      <c r="Q993">
        <v>2.0699999999999998</v>
      </c>
      <c r="R993">
        <v>50</v>
      </c>
      <c r="S993">
        <v>54</v>
      </c>
      <c r="T993" t="s">
        <v>69</v>
      </c>
      <c r="U993">
        <v>0</v>
      </c>
      <c r="V993">
        <v>49</v>
      </c>
      <c r="W993" t="s">
        <v>70</v>
      </c>
      <c r="X993" t="s">
        <v>68</v>
      </c>
      <c r="Y993" t="s">
        <v>86</v>
      </c>
      <c r="Z993" t="s">
        <v>102</v>
      </c>
    </row>
    <row r="994" spans="1:26" x14ac:dyDescent="0.2">
      <c r="A994" t="s">
        <v>1749</v>
      </c>
      <c r="B994" t="s">
        <v>718</v>
      </c>
      <c r="C994" t="s">
        <v>61</v>
      </c>
      <c r="D994" t="s">
        <v>62</v>
      </c>
      <c r="E994" t="s">
        <v>1750</v>
      </c>
      <c r="F994" t="s">
        <v>174</v>
      </c>
      <c r="G994" t="s">
        <v>65</v>
      </c>
      <c r="H994" t="s">
        <v>78</v>
      </c>
      <c r="I994" t="s">
        <v>121</v>
      </c>
      <c r="J994" s="3">
        <v>43615</v>
      </c>
      <c r="K994">
        <v>6.6</v>
      </c>
      <c r="L994">
        <v>47</v>
      </c>
      <c r="M994" s="4">
        <v>25400</v>
      </c>
      <c r="N994" s="4">
        <v>377954</v>
      </c>
      <c r="O994" t="s">
        <v>69</v>
      </c>
      <c r="P994" t="s">
        <v>68</v>
      </c>
      <c r="Q994">
        <v>2.65</v>
      </c>
      <c r="R994">
        <v>75</v>
      </c>
      <c r="S994">
        <v>48</v>
      </c>
      <c r="T994" t="s">
        <v>69</v>
      </c>
      <c r="U994">
        <v>6</v>
      </c>
      <c r="V994">
        <v>0</v>
      </c>
      <c r="W994" t="s">
        <v>69</v>
      </c>
      <c r="X994" t="s">
        <v>68</v>
      </c>
      <c r="Y994" t="s">
        <v>71</v>
      </c>
      <c r="Z994" t="s">
        <v>61</v>
      </c>
    </row>
    <row r="995" spans="1:26" x14ac:dyDescent="0.2">
      <c r="A995" t="s">
        <v>1751</v>
      </c>
      <c r="B995" t="s">
        <v>1025</v>
      </c>
      <c r="C995" t="s">
        <v>108</v>
      </c>
      <c r="D995" t="s">
        <v>109</v>
      </c>
      <c r="E995" t="s">
        <v>110</v>
      </c>
      <c r="F995" t="s">
        <v>92</v>
      </c>
      <c r="G995" t="s">
        <v>65</v>
      </c>
      <c r="H995" t="s">
        <v>78</v>
      </c>
      <c r="I995" t="s">
        <v>93</v>
      </c>
      <c r="J995" s="3">
        <v>40955</v>
      </c>
      <c r="K995">
        <v>13.9</v>
      </c>
      <c r="L995">
        <v>22</v>
      </c>
      <c r="M995" s="4">
        <v>3800</v>
      </c>
      <c r="N995" s="4">
        <v>55021</v>
      </c>
      <c r="O995" t="s">
        <v>68</v>
      </c>
      <c r="P995" t="s">
        <v>69</v>
      </c>
      <c r="Q995">
        <v>2.81</v>
      </c>
      <c r="R995">
        <v>64</v>
      </c>
      <c r="S995">
        <v>19</v>
      </c>
      <c r="T995" t="s">
        <v>69</v>
      </c>
      <c r="U995">
        <v>8</v>
      </c>
      <c r="V995">
        <v>38</v>
      </c>
      <c r="W995" t="s">
        <v>70</v>
      </c>
      <c r="X995" t="s">
        <v>68</v>
      </c>
      <c r="Y995" t="s">
        <v>86</v>
      </c>
      <c r="Z995" t="s">
        <v>108</v>
      </c>
    </row>
    <row r="996" spans="1:26" x14ac:dyDescent="0.2">
      <c r="A996" t="s">
        <v>1752</v>
      </c>
      <c r="B996" t="s">
        <v>1061</v>
      </c>
      <c r="C996" t="s">
        <v>96</v>
      </c>
      <c r="D996" t="s">
        <v>162</v>
      </c>
      <c r="E996" t="s">
        <v>163</v>
      </c>
      <c r="F996" t="s">
        <v>136</v>
      </c>
      <c r="G996" t="s">
        <v>215</v>
      </c>
      <c r="H996" t="s">
        <v>78</v>
      </c>
      <c r="I996" t="s">
        <v>67</v>
      </c>
      <c r="J996" s="3">
        <v>41071</v>
      </c>
      <c r="K996">
        <v>13.6</v>
      </c>
      <c r="L996">
        <v>30</v>
      </c>
      <c r="M996" s="4">
        <v>12900</v>
      </c>
      <c r="N996" s="4">
        <v>204323</v>
      </c>
      <c r="O996" t="s">
        <v>68</v>
      </c>
      <c r="P996" t="s">
        <v>69</v>
      </c>
      <c r="Q996">
        <v>2.83</v>
      </c>
      <c r="R996">
        <v>74</v>
      </c>
      <c r="S996">
        <v>26</v>
      </c>
      <c r="T996" t="s">
        <v>69</v>
      </c>
      <c r="U996">
        <v>2</v>
      </c>
      <c r="V996">
        <v>0</v>
      </c>
      <c r="W996" t="s">
        <v>70</v>
      </c>
      <c r="X996" t="s">
        <v>68</v>
      </c>
      <c r="Y996" t="s">
        <v>71</v>
      </c>
      <c r="Z996" t="s">
        <v>96</v>
      </c>
    </row>
    <row r="997" spans="1:26" x14ac:dyDescent="0.2">
      <c r="A997" t="s">
        <v>1753</v>
      </c>
      <c r="B997" t="s">
        <v>967</v>
      </c>
      <c r="C997" t="s">
        <v>89</v>
      </c>
      <c r="D997" t="s">
        <v>239</v>
      </c>
      <c r="E997" t="s">
        <v>580</v>
      </c>
      <c r="F997" t="s">
        <v>77</v>
      </c>
      <c r="G997" t="s">
        <v>65</v>
      </c>
      <c r="H997" t="s">
        <v>66</v>
      </c>
      <c r="I997" t="s">
        <v>111</v>
      </c>
      <c r="J997" s="3">
        <v>45271</v>
      </c>
      <c r="K997">
        <v>2.1</v>
      </c>
      <c r="L997">
        <v>27</v>
      </c>
      <c r="M997" s="4">
        <v>11300</v>
      </c>
      <c r="N997" s="4">
        <v>172968</v>
      </c>
      <c r="O997" t="s">
        <v>68</v>
      </c>
      <c r="P997" t="s">
        <v>69</v>
      </c>
      <c r="Q997">
        <v>3.47</v>
      </c>
      <c r="R997">
        <v>59</v>
      </c>
      <c r="S997">
        <v>28</v>
      </c>
      <c r="T997" t="s">
        <v>69</v>
      </c>
      <c r="U997">
        <v>0</v>
      </c>
      <c r="V997">
        <v>27</v>
      </c>
      <c r="W997" t="s">
        <v>70</v>
      </c>
      <c r="X997" t="s">
        <v>68</v>
      </c>
      <c r="Y997" t="s">
        <v>71</v>
      </c>
      <c r="Z997" t="s">
        <v>89</v>
      </c>
    </row>
    <row r="998" spans="1:26" x14ac:dyDescent="0.2">
      <c r="A998" t="s">
        <v>1754</v>
      </c>
      <c r="B998" t="s">
        <v>1413</v>
      </c>
      <c r="C998" t="s">
        <v>89</v>
      </c>
      <c r="D998" t="s">
        <v>239</v>
      </c>
      <c r="E998" t="s">
        <v>580</v>
      </c>
      <c r="F998" t="s">
        <v>77</v>
      </c>
      <c r="G998" t="s">
        <v>65</v>
      </c>
      <c r="H998" t="s">
        <v>78</v>
      </c>
      <c r="I998" t="s">
        <v>79</v>
      </c>
      <c r="J998" s="3">
        <v>44833</v>
      </c>
      <c r="K998">
        <v>3.3</v>
      </c>
      <c r="L998">
        <v>41</v>
      </c>
      <c r="M998" s="4">
        <v>9800</v>
      </c>
      <c r="N998" s="4">
        <v>147058</v>
      </c>
      <c r="O998" t="s">
        <v>68</v>
      </c>
      <c r="P998" t="s">
        <v>69</v>
      </c>
      <c r="Q998">
        <v>2.2200000000000002</v>
      </c>
      <c r="R998">
        <v>56</v>
      </c>
      <c r="S998">
        <v>40</v>
      </c>
      <c r="T998" t="s">
        <v>69</v>
      </c>
      <c r="U998">
        <v>9</v>
      </c>
      <c r="V998">
        <v>39</v>
      </c>
      <c r="W998" t="s">
        <v>70</v>
      </c>
      <c r="X998" t="s">
        <v>68</v>
      </c>
      <c r="Y998" t="s">
        <v>86</v>
      </c>
      <c r="Z998" t="s">
        <v>89</v>
      </c>
    </row>
    <row r="999" spans="1:26" x14ac:dyDescent="0.2">
      <c r="A999" t="s">
        <v>1755</v>
      </c>
      <c r="B999" t="s">
        <v>1287</v>
      </c>
      <c r="C999" t="s">
        <v>89</v>
      </c>
      <c r="D999" t="s">
        <v>90</v>
      </c>
      <c r="E999" t="s">
        <v>91</v>
      </c>
      <c r="F999" t="s">
        <v>92</v>
      </c>
      <c r="G999" t="s">
        <v>65</v>
      </c>
      <c r="H999" t="s">
        <v>78</v>
      </c>
      <c r="I999" t="s">
        <v>67</v>
      </c>
      <c r="J999" s="3">
        <v>45130</v>
      </c>
      <c r="K999">
        <v>2.4</v>
      </c>
      <c r="L999">
        <v>55</v>
      </c>
      <c r="M999" s="4">
        <v>5300</v>
      </c>
      <c r="N999" s="4">
        <v>78498</v>
      </c>
      <c r="O999" t="s">
        <v>68</v>
      </c>
      <c r="P999" t="s">
        <v>69</v>
      </c>
      <c r="Q999">
        <v>3.19</v>
      </c>
      <c r="R999">
        <v>57</v>
      </c>
      <c r="S999">
        <v>10</v>
      </c>
      <c r="T999" t="s">
        <v>68</v>
      </c>
      <c r="U999">
        <v>0</v>
      </c>
      <c r="V999">
        <v>25</v>
      </c>
      <c r="W999" t="s">
        <v>70</v>
      </c>
      <c r="X999" t="s">
        <v>68</v>
      </c>
      <c r="Y999" t="s">
        <v>86</v>
      </c>
      <c r="Z999" t="s">
        <v>89</v>
      </c>
    </row>
    <row r="1000" spans="1:26" x14ac:dyDescent="0.2">
      <c r="A1000" t="s">
        <v>1756</v>
      </c>
      <c r="B1000" t="s">
        <v>142</v>
      </c>
      <c r="C1000" t="s">
        <v>74</v>
      </c>
      <c r="D1000" t="s">
        <v>313</v>
      </c>
      <c r="E1000" t="s">
        <v>526</v>
      </c>
      <c r="F1000" t="s">
        <v>136</v>
      </c>
      <c r="G1000" t="s">
        <v>65</v>
      </c>
      <c r="H1000" t="s">
        <v>78</v>
      </c>
      <c r="I1000" t="s">
        <v>99</v>
      </c>
      <c r="J1000" s="3">
        <v>42741</v>
      </c>
      <c r="K1000">
        <v>9</v>
      </c>
      <c r="L1000">
        <v>27</v>
      </c>
      <c r="M1000" s="4">
        <v>15400</v>
      </c>
      <c r="N1000" s="4">
        <v>252956</v>
      </c>
      <c r="O1000" t="s">
        <v>68</v>
      </c>
      <c r="P1000" t="s">
        <v>68</v>
      </c>
      <c r="Q1000">
        <v>3.13</v>
      </c>
      <c r="R1000">
        <v>79</v>
      </c>
      <c r="S1000">
        <v>10</v>
      </c>
      <c r="T1000" t="s">
        <v>68</v>
      </c>
      <c r="U1000">
        <v>11</v>
      </c>
      <c r="V1000">
        <v>21</v>
      </c>
      <c r="W1000" t="s">
        <v>70</v>
      </c>
      <c r="X1000" t="s">
        <v>68</v>
      </c>
      <c r="Y1000" t="s">
        <v>71</v>
      </c>
      <c r="Z1000" t="s">
        <v>74</v>
      </c>
    </row>
    <row r="1001" spans="1:26" x14ac:dyDescent="0.2">
      <c r="A1001" t="s">
        <v>1757</v>
      </c>
      <c r="B1001" t="s">
        <v>1758</v>
      </c>
      <c r="C1001" t="s">
        <v>61</v>
      </c>
      <c r="D1001" t="s">
        <v>218</v>
      </c>
      <c r="E1001" t="s">
        <v>219</v>
      </c>
      <c r="F1001" t="s">
        <v>64</v>
      </c>
      <c r="G1001" t="s">
        <v>65</v>
      </c>
      <c r="H1001" t="s">
        <v>66</v>
      </c>
      <c r="I1001" t="s">
        <v>67</v>
      </c>
      <c r="J1001" s="3">
        <v>41862</v>
      </c>
      <c r="K1001">
        <v>11.4</v>
      </c>
      <c r="L1001">
        <v>26</v>
      </c>
      <c r="M1001" s="4">
        <v>5700</v>
      </c>
      <c r="N1001" s="4">
        <v>83084</v>
      </c>
      <c r="O1001" t="s">
        <v>68</v>
      </c>
      <c r="P1001" t="s">
        <v>68</v>
      </c>
      <c r="Q1001">
        <v>2.36</v>
      </c>
      <c r="R1001">
        <v>63</v>
      </c>
      <c r="S1001">
        <v>21</v>
      </c>
      <c r="T1001" t="s">
        <v>69</v>
      </c>
      <c r="U1001">
        <v>0</v>
      </c>
      <c r="V1001">
        <v>8</v>
      </c>
      <c r="W1001" t="s">
        <v>70</v>
      </c>
      <c r="X1001" t="s">
        <v>68</v>
      </c>
      <c r="Y1001" t="s">
        <v>71</v>
      </c>
      <c r="Z1001" t="s">
        <v>61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21"/>
  <sheetViews>
    <sheetView topLeftCell="Q1" zoomScaleNormal="60" zoomScaleSheetLayoutView="100" workbookViewId="0"/>
  </sheetViews>
  <sheetFormatPr defaultRowHeight="15" x14ac:dyDescent="0.2"/>
  <cols>
    <col min="1" max="26" width="16.0078125" customWidth="1"/>
  </cols>
  <sheetData>
    <row r="1" spans="1:26" ht="27.75" x14ac:dyDescent="0.2">
      <c r="A1" s="1" t="s">
        <v>1759</v>
      </c>
      <c r="B1" s="1" t="s">
        <v>35</v>
      </c>
      <c r="C1" s="1" t="s">
        <v>1760</v>
      </c>
      <c r="D1" s="1" t="s">
        <v>1761</v>
      </c>
      <c r="E1" s="1" t="s">
        <v>1762</v>
      </c>
      <c r="F1" s="1" t="s">
        <v>1763</v>
      </c>
      <c r="G1" s="1" t="s">
        <v>1764</v>
      </c>
      <c r="H1" s="1" t="s">
        <v>1765</v>
      </c>
      <c r="I1" s="1" t="s">
        <v>1766</v>
      </c>
      <c r="J1" s="1" t="s">
        <v>1767</v>
      </c>
      <c r="K1" s="1" t="s">
        <v>1768</v>
      </c>
      <c r="L1" s="1" t="s">
        <v>1769</v>
      </c>
      <c r="M1" s="1" t="s">
        <v>50</v>
      </c>
      <c r="N1" s="1" t="s">
        <v>1770</v>
      </c>
      <c r="O1" s="1" t="s">
        <v>1771</v>
      </c>
      <c r="P1" s="1" t="s">
        <v>1772</v>
      </c>
      <c r="Q1" s="1" t="s">
        <v>1773</v>
      </c>
      <c r="R1" s="1" t="s">
        <v>1774</v>
      </c>
      <c r="S1" s="1" t="s">
        <v>1775</v>
      </c>
      <c r="T1" s="1"/>
      <c r="U1" s="1"/>
      <c r="V1" s="1"/>
      <c r="W1" s="1"/>
      <c r="X1" s="1"/>
      <c r="Y1" s="1"/>
      <c r="Z1" s="1"/>
    </row>
    <row r="2" spans="1:26" x14ac:dyDescent="0.2">
      <c r="A2" s="5">
        <v>45658</v>
      </c>
      <c r="B2" t="s">
        <v>89</v>
      </c>
      <c r="C2">
        <v>165</v>
      </c>
      <c r="D2">
        <v>7</v>
      </c>
      <c r="E2">
        <v>4</v>
      </c>
      <c r="F2">
        <v>166</v>
      </c>
      <c r="G2">
        <v>11</v>
      </c>
      <c r="H2">
        <v>3</v>
      </c>
      <c r="I2">
        <v>0</v>
      </c>
      <c r="J2">
        <v>99</v>
      </c>
      <c r="K2">
        <v>3652</v>
      </c>
      <c r="L2" s="6">
        <v>0.85942997902877183</v>
      </c>
      <c r="M2" s="7">
        <v>65</v>
      </c>
      <c r="N2" s="6">
        <v>0.90036859731627072</v>
      </c>
      <c r="O2" s="6">
        <v>0.84123540011911957</v>
      </c>
      <c r="P2" s="6">
        <v>0.46391997580052624</v>
      </c>
      <c r="Q2" s="6">
        <v>2.4096385542168676E-2</v>
      </c>
      <c r="R2" s="6">
        <v>2.710843373493976E-2</v>
      </c>
      <c r="S2" s="6">
        <v>6.2146892655367235E-2</v>
      </c>
    </row>
    <row r="3" spans="1:26" x14ac:dyDescent="0.2">
      <c r="A3" s="5">
        <v>45689</v>
      </c>
      <c r="B3" t="s">
        <v>89</v>
      </c>
      <c r="C3">
        <v>168</v>
      </c>
      <c r="D3">
        <v>4</v>
      </c>
      <c r="E3">
        <v>3</v>
      </c>
      <c r="F3">
        <v>168</v>
      </c>
      <c r="G3">
        <v>11</v>
      </c>
      <c r="H3">
        <v>2</v>
      </c>
      <c r="I3">
        <v>0</v>
      </c>
      <c r="J3">
        <v>56</v>
      </c>
      <c r="K3">
        <v>3696</v>
      </c>
      <c r="L3" s="6">
        <v>0.83529952708897581</v>
      </c>
      <c r="M3" s="7">
        <v>52</v>
      </c>
      <c r="N3" s="6">
        <v>0.90911024134377938</v>
      </c>
      <c r="O3" s="6">
        <v>0.8103143912492019</v>
      </c>
      <c r="P3" s="6">
        <v>0.67296752502544965</v>
      </c>
      <c r="Q3" s="6">
        <v>1.7857142857142856E-2</v>
      </c>
      <c r="R3" s="6">
        <v>1.5151515151515152E-2</v>
      </c>
      <c r="S3" s="6">
        <v>6.1452513966480445E-2</v>
      </c>
    </row>
    <row r="4" spans="1:26" x14ac:dyDescent="0.2">
      <c r="A4" s="5">
        <v>45717</v>
      </c>
      <c r="B4" t="s">
        <v>89</v>
      </c>
      <c r="C4">
        <v>169</v>
      </c>
      <c r="D4">
        <v>3</v>
      </c>
      <c r="E4">
        <v>4</v>
      </c>
      <c r="F4">
        <v>168</v>
      </c>
      <c r="G4">
        <v>9</v>
      </c>
      <c r="H4">
        <v>3</v>
      </c>
      <c r="I4">
        <v>0</v>
      </c>
      <c r="J4">
        <v>85</v>
      </c>
      <c r="K4">
        <v>3696</v>
      </c>
      <c r="L4" s="6">
        <v>0.72626060734457776</v>
      </c>
      <c r="M4" s="7">
        <v>51</v>
      </c>
      <c r="N4" s="6">
        <v>0.94780396940931699</v>
      </c>
      <c r="O4" s="6">
        <v>0.79540259077203812</v>
      </c>
      <c r="P4" s="6">
        <v>0.42483502487823743</v>
      </c>
      <c r="Q4" s="6">
        <v>2.3809523809523808E-2</v>
      </c>
      <c r="R4" s="6">
        <v>2.2997835497835496E-2</v>
      </c>
      <c r="S4" s="6">
        <v>5.0847457627118647E-2</v>
      </c>
    </row>
    <row r="5" spans="1:26" x14ac:dyDescent="0.2">
      <c r="A5" s="5">
        <v>45748</v>
      </c>
      <c r="B5" t="s">
        <v>89</v>
      </c>
      <c r="C5">
        <v>168</v>
      </c>
      <c r="D5">
        <v>5</v>
      </c>
      <c r="E5">
        <v>3</v>
      </c>
      <c r="F5">
        <v>169</v>
      </c>
      <c r="G5">
        <v>6</v>
      </c>
      <c r="H5">
        <v>2</v>
      </c>
      <c r="I5">
        <v>0</v>
      </c>
      <c r="J5">
        <v>68</v>
      </c>
      <c r="K5">
        <v>3718</v>
      </c>
      <c r="L5" s="6">
        <v>0.82935836136050978</v>
      </c>
      <c r="M5" s="7">
        <v>61</v>
      </c>
      <c r="N5" s="6">
        <v>0.9588163779457749</v>
      </c>
      <c r="O5" s="6">
        <v>0.90864085960516561</v>
      </c>
      <c r="P5" s="6">
        <v>0.83136157213833572</v>
      </c>
      <c r="Q5" s="6">
        <v>1.7751479289940829E-2</v>
      </c>
      <c r="R5" s="6">
        <v>1.8289402904787519E-2</v>
      </c>
      <c r="S5" s="6">
        <v>3.4285714285714287E-2</v>
      </c>
    </row>
    <row r="6" spans="1:26" x14ac:dyDescent="0.2">
      <c r="A6" s="5">
        <v>45778</v>
      </c>
      <c r="B6" t="s">
        <v>89</v>
      </c>
      <c r="C6">
        <v>170</v>
      </c>
      <c r="D6">
        <v>3</v>
      </c>
      <c r="E6">
        <v>4</v>
      </c>
      <c r="F6">
        <v>170</v>
      </c>
      <c r="G6">
        <v>9</v>
      </c>
      <c r="H6">
        <v>2</v>
      </c>
      <c r="I6">
        <v>0</v>
      </c>
      <c r="J6">
        <v>84</v>
      </c>
      <c r="K6">
        <v>3740</v>
      </c>
      <c r="L6" s="6">
        <v>0.7578253968009534</v>
      </c>
      <c r="M6" s="7">
        <v>62</v>
      </c>
      <c r="N6" s="6">
        <v>0.99762526127672868</v>
      </c>
      <c r="O6" s="6">
        <v>0.71000074218639853</v>
      </c>
      <c r="P6" s="6">
        <v>0.47857896275439227</v>
      </c>
      <c r="Q6" s="6">
        <v>2.3529411764705882E-2</v>
      </c>
      <c r="R6" s="6">
        <v>2.2459893048128343E-2</v>
      </c>
      <c r="S6" s="6">
        <v>5.027932960893855E-2</v>
      </c>
    </row>
    <row r="7" spans="1:26" x14ac:dyDescent="0.2">
      <c r="A7" s="5">
        <v>45809</v>
      </c>
      <c r="B7" t="s">
        <v>89</v>
      </c>
      <c r="C7">
        <v>169</v>
      </c>
      <c r="D7">
        <v>3</v>
      </c>
      <c r="E7">
        <v>3</v>
      </c>
      <c r="F7">
        <v>169</v>
      </c>
      <c r="G7">
        <v>13</v>
      </c>
      <c r="H7">
        <v>2</v>
      </c>
      <c r="I7">
        <v>0</v>
      </c>
      <c r="J7">
        <v>57</v>
      </c>
      <c r="K7">
        <v>3718</v>
      </c>
      <c r="L7" s="6">
        <v>0.83911526176286089</v>
      </c>
      <c r="M7" s="7">
        <v>67</v>
      </c>
      <c r="N7" s="6">
        <v>0.94692452719258546</v>
      </c>
      <c r="O7" s="6">
        <v>0.91303289656933551</v>
      </c>
      <c r="P7" s="6">
        <v>0.57977514138061803</v>
      </c>
      <c r="Q7" s="6">
        <v>1.7751479289940829E-2</v>
      </c>
      <c r="R7" s="6">
        <v>1.5330823023130715E-2</v>
      </c>
      <c r="S7" s="6">
        <v>7.1428571428571425E-2</v>
      </c>
    </row>
    <row r="8" spans="1:26" x14ac:dyDescent="0.2">
      <c r="A8" s="5">
        <v>45839</v>
      </c>
      <c r="B8" t="s">
        <v>89</v>
      </c>
      <c r="C8">
        <v>169</v>
      </c>
      <c r="D8">
        <v>1</v>
      </c>
      <c r="E8">
        <v>4</v>
      </c>
      <c r="F8">
        <v>168</v>
      </c>
      <c r="G8">
        <v>6</v>
      </c>
      <c r="H8">
        <v>2</v>
      </c>
      <c r="I8">
        <v>0</v>
      </c>
      <c r="J8">
        <v>98</v>
      </c>
      <c r="K8">
        <v>3696</v>
      </c>
      <c r="L8" s="6">
        <v>0.83836234562254697</v>
      </c>
      <c r="M8" s="7">
        <v>65</v>
      </c>
      <c r="N8" s="6">
        <v>0.87439949700172981</v>
      </c>
      <c r="O8" s="6">
        <v>0.82148619097017128</v>
      </c>
      <c r="P8" s="6">
        <v>0.63191056371164767</v>
      </c>
      <c r="Q8" s="6">
        <v>2.3809523809523808E-2</v>
      </c>
      <c r="R8" s="6">
        <v>2.6515151515151516E-2</v>
      </c>
      <c r="S8" s="6">
        <v>3.4482758620689655E-2</v>
      </c>
    </row>
    <row r="9" spans="1:26" x14ac:dyDescent="0.2">
      <c r="A9" s="5">
        <v>45870</v>
      </c>
      <c r="B9" t="s">
        <v>89</v>
      </c>
      <c r="C9">
        <v>166</v>
      </c>
      <c r="D9">
        <v>3</v>
      </c>
      <c r="E9">
        <v>4</v>
      </c>
      <c r="F9">
        <v>166</v>
      </c>
      <c r="G9">
        <v>11</v>
      </c>
      <c r="H9">
        <v>2</v>
      </c>
      <c r="I9">
        <v>0</v>
      </c>
      <c r="J9">
        <v>56</v>
      </c>
      <c r="K9">
        <v>3652</v>
      </c>
      <c r="L9" s="6">
        <v>0.70956320945367191</v>
      </c>
      <c r="M9" s="7">
        <v>71</v>
      </c>
      <c r="N9" s="6">
        <v>0.97161176120513404</v>
      </c>
      <c r="O9" s="6">
        <v>0.68</v>
      </c>
      <c r="P9" s="6">
        <v>0.78377348957187021</v>
      </c>
      <c r="Q9" s="6">
        <v>2.4096385542168676E-2</v>
      </c>
      <c r="R9" s="6">
        <v>1.5334063526834611E-2</v>
      </c>
      <c r="S9" s="6">
        <v>6.2146892655367235E-2</v>
      </c>
    </row>
    <row r="10" spans="1:26" x14ac:dyDescent="0.2">
      <c r="A10" s="5">
        <v>45901</v>
      </c>
      <c r="B10" t="s">
        <v>89</v>
      </c>
      <c r="C10">
        <v>165</v>
      </c>
      <c r="D10">
        <v>0</v>
      </c>
      <c r="E10">
        <v>3</v>
      </c>
      <c r="F10">
        <v>164</v>
      </c>
      <c r="G10">
        <v>6</v>
      </c>
      <c r="H10">
        <v>2</v>
      </c>
      <c r="I10">
        <v>0</v>
      </c>
      <c r="J10">
        <v>78</v>
      </c>
      <c r="K10">
        <v>3608</v>
      </c>
      <c r="L10" s="6">
        <v>0.85182831371074741</v>
      </c>
      <c r="M10" s="7">
        <v>70</v>
      </c>
      <c r="N10" s="6">
        <v>0.87239130505644558</v>
      </c>
      <c r="O10" s="6">
        <v>0.86512258868172021</v>
      </c>
      <c r="P10" s="6">
        <v>0.58391344276397494</v>
      </c>
      <c r="Q10" s="6">
        <v>1.8292682926829267E-2</v>
      </c>
      <c r="R10" s="6">
        <v>2.1618625277161862E-2</v>
      </c>
      <c r="S10" s="6">
        <v>3.5294117647058823E-2</v>
      </c>
    </row>
    <row r="11" spans="1:26" x14ac:dyDescent="0.2">
      <c r="A11" s="5">
        <v>45931</v>
      </c>
      <c r="B11" t="s">
        <v>89</v>
      </c>
      <c r="C11">
        <v>162</v>
      </c>
      <c r="D11">
        <v>1</v>
      </c>
      <c r="E11">
        <v>3</v>
      </c>
      <c r="F11">
        <v>161</v>
      </c>
      <c r="G11">
        <v>11</v>
      </c>
      <c r="H11">
        <v>2</v>
      </c>
      <c r="I11">
        <v>0</v>
      </c>
      <c r="J11">
        <v>92</v>
      </c>
      <c r="K11">
        <v>3542</v>
      </c>
      <c r="L11" s="6">
        <v>0.78802905302244153</v>
      </c>
      <c r="M11" s="7">
        <v>59</v>
      </c>
      <c r="N11" s="6">
        <v>0.90015846096771668</v>
      </c>
      <c r="O11" s="6">
        <v>0.82377181012885881</v>
      </c>
      <c r="P11" s="6">
        <v>0.55635781333032797</v>
      </c>
      <c r="Q11" s="6">
        <v>1.8633540372670808E-2</v>
      </c>
      <c r="R11" s="6">
        <v>2.5974025974025976E-2</v>
      </c>
      <c r="S11" s="6">
        <v>6.3953488372093026E-2</v>
      </c>
    </row>
    <row r="12" spans="1:26" x14ac:dyDescent="0.2">
      <c r="A12" s="5">
        <v>45962</v>
      </c>
      <c r="B12" t="s">
        <v>89</v>
      </c>
      <c r="C12">
        <v>160</v>
      </c>
      <c r="D12">
        <v>3</v>
      </c>
      <c r="E12">
        <v>2</v>
      </c>
      <c r="F12">
        <v>160</v>
      </c>
      <c r="G12">
        <v>10</v>
      </c>
      <c r="H12">
        <v>1</v>
      </c>
      <c r="I12">
        <v>0</v>
      </c>
      <c r="J12">
        <v>61</v>
      </c>
      <c r="K12">
        <v>3520</v>
      </c>
      <c r="L12" s="6">
        <v>0.79163341544236265</v>
      </c>
      <c r="M12" s="7">
        <v>68</v>
      </c>
      <c r="N12" s="6">
        <v>0.93652066902388287</v>
      </c>
      <c r="O12" s="6">
        <v>0.75137360074250803</v>
      </c>
      <c r="P12" s="6">
        <v>0.71820427010720689</v>
      </c>
      <c r="Q12" s="6">
        <v>1.2500000000000001E-2</v>
      </c>
      <c r="R12" s="6">
        <v>1.7329545454545455E-2</v>
      </c>
      <c r="S12" s="6">
        <v>5.8823529411764705E-2</v>
      </c>
    </row>
    <row r="13" spans="1:26" x14ac:dyDescent="0.2">
      <c r="A13" s="5">
        <v>45992</v>
      </c>
      <c r="B13" t="s">
        <v>89</v>
      </c>
      <c r="C13">
        <v>161</v>
      </c>
      <c r="D13">
        <v>2</v>
      </c>
      <c r="E13">
        <v>4</v>
      </c>
      <c r="F13">
        <v>160</v>
      </c>
      <c r="G13">
        <v>8</v>
      </c>
      <c r="H13">
        <v>2</v>
      </c>
      <c r="I13">
        <v>0</v>
      </c>
      <c r="J13">
        <v>65</v>
      </c>
      <c r="K13">
        <v>3520</v>
      </c>
      <c r="L13" s="6">
        <v>0.8439862005348171</v>
      </c>
      <c r="M13" s="7">
        <v>66</v>
      </c>
      <c r="N13" s="6">
        <v>0.99583247003816378</v>
      </c>
      <c r="O13" s="6">
        <v>0.80442172224876118</v>
      </c>
      <c r="P13" s="6">
        <v>0.55679752022894924</v>
      </c>
      <c r="Q13" s="6">
        <v>2.5000000000000001E-2</v>
      </c>
      <c r="R13" s="6">
        <v>1.8465909090909092E-2</v>
      </c>
      <c r="S13" s="6">
        <v>4.7619047619047616E-2</v>
      </c>
    </row>
    <row r="14" spans="1:26" x14ac:dyDescent="0.2">
      <c r="A14" s="5">
        <v>45658</v>
      </c>
      <c r="B14" t="s">
        <v>102</v>
      </c>
      <c r="C14">
        <v>127</v>
      </c>
      <c r="D14">
        <v>2</v>
      </c>
      <c r="E14">
        <v>3</v>
      </c>
      <c r="F14">
        <v>126</v>
      </c>
      <c r="G14">
        <v>8</v>
      </c>
      <c r="H14">
        <v>2</v>
      </c>
      <c r="I14">
        <v>0</v>
      </c>
      <c r="J14">
        <v>50</v>
      </c>
      <c r="K14">
        <v>2772</v>
      </c>
      <c r="L14" s="6">
        <v>0.89977247060674259</v>
      </c>
      <c r="M14" s="7">
        <v>61</v>
      </c>
      <c r="N14" s="6">
        <v>0.93040580818715279</v>
      </c>
      <c r="O14" s="6">
        <v>0.94651531703377167</v>
      </c>
      <c r="P14" s="6">
        <v>0.69758014219721132</v>
      </c>
      <c r="Q14" s="6">
        <v>2.3809523809523808E-2</v>
      </c>
      <c r="R14" s="6">
        <v>1.8037518037518036E-2</v>
      </c>
      <c r="S14" s="6">
        <v>5.9701492537313432E-2</v>
      </c>
    </row>
    <row r="15" spans="1:26" x14ac:dyDescent="0.2">
      <c r="A15" s="5">
        <v>45689</v>
      </c>
      <c r="B15" t="s">
        <v>102</v>
      </c>
      <c r="C15">
        <v>126</v>
      </c>
      <c r="D15">
        <v>4</v>
      </c>
      <c r="E15">
        <v>2</v>
      </c>
      <c r="F15">
        <v>127</v>
      </c>
      <c r="G15">
        <v>8</v>
      </c>
      <c r="H15">
        <v>1</v>
      </c>
      <c r="I15">
        <v>0</v>
      </c>
      <c r="J15">
        <v>93</v>
      </c>
      <c r="K15">
        <v>2794</v>
      </c>
      <c r="L15" s="6">
        <v>0.99</v>
      </c>
      <c r="M15" s="7">
        <v>68</v>
      </c>
      <c r="N15" s="6">
        <v>0.94996757178506552</v>
      </c>
      <c r="O15" s="6">
        <v>0.95621538343728818</v>
      </c>
      <c r="P15" s="6">
        <v>0.6455747828287447</v>
      </c>
      <c r="Q15" s="6">
        <v>1.5748031496062992E-2</v>
      </c>
      <c r="R15" s="6">
        <v>3.3285612025769504E-2</v>
      </c>
      <c r="S15" s="6">
        <v>5.9259259259259262E-2</v>
      </c>
    </row>
    <row r="16" spans="1:26" x14ac:dyDescent="0.2">
      <c r="A16" s="5">
        <v>45717</v>
      </c>
      <c r="B16" t="s">
        <v>102</v>
      </c>
      <c r="C16">
        <v>128</v>
      </c>
      <c r="D16">
        <v>1</v>
      </c>
      <c r="E16">
        <v>3</v>
      </c>
      <c r="F16">
        <v>127</v>
      </c>
      <c r="G16">
        <v>9</v>
      </c>
      <c r="H16">
        <v>1</v>
      </c>
      <c r="I16">
        <v>0</v>
      </c>
      <c r="J16">
        <v>78</v>
      </c>
      <c r="K16">
        <v>2794</v>
      </c>
      <c r="L16" s="6">
        <v>0.77069238976708943</v>
      </c>
      <c r="M16" s="7">
        <v>62</v>
      </c>
      <c r="N16" s="6">
        <v>0.8735599987549767</v>
      </c>
      <c r="O16" s="6">
        <v>0.8420581405236307</v>
      </c>
      <c r="P16" s="6">
        <v>0.71724857698100686</v>
      </c>
      <c r="Q16" s="6">
        <v>2.3622047244094488E-2</v>
      </c>
      <c r="R16" s="6">
        <v>2.7916964924838941E-2</v>
      </c>
      <c r="S16" s="6">
        <v>6.6176470588235295E-2</v>
      </c>
    </row>
    <row r="17" spans="1:19" x14ac:dyDescent="0.2">
      <c r="A17" s="5">
        <v>45748</v>
      </c>
      <c r="B17" t="s">
        <v>102</v>
      </c>
      <c r="C17">
        <v>126</v>
      </c>
      <c r="D17">
        <v>3</v>
      </c>
      <c r="E17">
        <v>2</v>
      </c>
      <c r="F17">
        <v>126</v>
      </c>
      <c r="G17">
        <v>12</v>
      </c>
      <c r="H17">
        <v>1</v>
      </c>
      <c r="I17">
        <v>0</v>
      </c>
      <c r="J17">
        <v>95</v>
      </c>
      <c r="K17">
        <v>2772</v>
      </c>
      <c r="L17" s="6">
        <v>0.89068625605416374</v>
      </c>
      <c r="M17" s="7">
        <v>64</v>
      </c>
      <c r="N17" s="6">
        <v>0.97826782865288653</v>
      </c>
      <c r="O17" s="6">
        <v>0.8819522382210957</v>
      </c>
      <c r="P17" s="6">
        <v>0.54593439819428435</v>
      </c>
      <c r="Q17" s="6">
        <v>1.5873015873015872E-2</v>
      </c>
      <c r="R17" s="6">
        <v>3.4271284271284272E-2</v>
      </c>
      <c r="S17" s="6">
        <v>8.6956521739130432E-2</v>
      </c>
    </row>
    <row r="18" spans="1:19" x14ac:dyDescent="0.2">
      <c r="A18" s="5">
        <v>45778</v>
      </c>
      <c r="B18" t="s">
        <v>102</v>
      </c>
      <c r="C18">
        <v>127</v>
      </c>
      <c r="D18">
        <v>2</v>
      </c>
      <c r="E18">
        <v>3</v>
      </c>
      <c r="F18">
        <v>126</v>
      </c>
      <c r="G18">
        <v>0</v>
      </c>
      <c r="H18">
        <v>2</v>
      </c>
      <c r="I18">
        <v>0</v>
      </c>
      <c r="J18">
        <v>70</v>
      </c>
      <c r="K18">
        <v>2772</v>
      </c>
      <c r="L18" s="6">
        <v>0.64701481737297961</v>
      </c>
      <c r="M18" s="7">
        <v>53</v>
      </c>
      <c r="N18" s="6">
        <v>0.93914382413879949</v>
      </c>
      <c r="O18" s="6">
        <v>0.68</v>
      </c>
      <c r="P18" s="6">
        <v>0.78588217315516928</v>
      </c>
      <c r="Q18" s="6">
        <v>2.3809523809523808E-2</v>
      </c>
      <c r="R18" s="6">
        <v>2.5252525252525252E-2</v>
      </c>
      <c r="S18" s="6">
        <v>0</v>
      </c>
    </row>
    <row r="19" spans="1:19" x14ac:dyDescent="0.2">
      <c r="A19" s="5">
        <v>45809</v>
      </c>
      <c r="B19" t="s">
        <v>102</v>
      </c>
      <c r="C19">
        <v>126</v>
      </c>
      <c r="D19">
        <v>2</v>
      </c>
      <c r="E19">
        <v>3</v>
      </c>
      <c r="F19">
        <v>126</v>
      </c>
      <c r="G19">
        <v>6</v>
      </c>
      <c r="H19">
        <v>1</v>
      </c>
      <c r="I19">
        <v>0</v>
      </c>
      <c r="J19">
        <v>61</v>
      </c>
      <c r="K19">
        <v>2772</v>
      </c>
      <c r="L19" s="6">
        <v>0.96408736732172073</v>
      </c>
      <c r="M19" s="7">
        <v>75</v>
      </c>
      <c r="N19" s="6">
        <v>0.95839217245522035</v>
      </c>
      <c r="O19" s="6">
        <v>1</v>
      </c>
      <c r="P19" s="6">
        <v>0.73198610876046177</v>
      </c>
      <c r="Q19" s="6">
        <v>2.3809523809523808E-2</v>
      </c>
      <c r="R19" s="6">
        <v>2.2005772005772004E-2</v>
      </c>
      <c r="S19" s="6">
        <v>4.5454545454545456E-2</v>
      </c>
    </row>
    <row r="20" spans="1:19" x14ac:dyDescent="0.2">
      <c r="A20" s="5">
        <v>45839</v>
      </c>
      <c r="B20" t="s">
        <v>102</v>
      </c>
      <c r="C20">
        <v>125</v>
      </c>
      <c r="D20">
        <v>2</v>
      </c>
      <c r="E20">
        <v>3</v>
      </c>
      <c r="F20">
        <v>124</v>
      </c>
      <c r="G20">
        <v>7</v>
      </c>
      <c r="H20">
        <v>1</v>
      </c>
      <c r="I20">
        <v>0</v>
      </c>
      <c r="J20">
        <v>86</v>
      </c>
      <c r="K20">
        <v>2728</v>
      </c>
      <c r="L20" s="6">
        <v>0.90591636795322683</v>
      </c>
      <c r="M20" s="7">
        <v>64</v>
      </c>
      <c r="N20" s="6">
        <v>1</v>
      </c>
      <c r="O20" s="6">
        <v>0.87901293158311478</v>
      </c>
      <c r="P20" s="6">
        <v>0.50909186896676595</v>
      </c>
      <c r="Q20" s="6">
        <v>2.4193548387096774E-2</v>
      </c>
      <c r="R20" s="6">
        <v>3.1524926686217009E-2</v>
      </c>
      <c r="S20" s="6">
        <v>5.3435114503816793E-2</v>
      </c>
    </row>
    <row r="21" spans="1:19" x14ac:dyDescent="0.2">
      <c r="A21" s="5">
        <v>45870</v>
      </c>
      <c r="B21" t="s">
        <v>102</v>
      </c>
      <c r="C21">
        <v>124</v>
      </c>
      <c r="D21">
        <v>4</v>
      </c>
      <c r="E21">
        <v>2</v>
      </c>
      <c r="F21">
        <v>125</v>
      </c>
      <c r="G21">
        <v>5</v>
      </c>
      <c r="H21">
        <v>1</v>
      </c>
      <c r="I21">
        <v>0</v>
      </c>
      <c r="J21">
        <v>86</v>
      </c>
      <c r="K21">
        <v>2750</v>
      </c>
      <c r="L21" s="6">
        <v>0.96735162753763326</v>
      </c>
      <c r="M21" s="7">
        <v>75</v>
      </c>
      <c r="N21" s="6">
        <v>0.86135799735557628</v>
      </c>
      <c r="O21" s="6">
        <v>0.97870483186093871</v>
      </c>
      <c r="P21" s="6">
        <v>0.561491633380793</v>
      </c>
      <c r="Q21" s="6">
        <v>1.6E-2</v>
      </c>
      <c r="R21" s="6">
        <v>3.1272727272727271E-2</v>
      </c>
      <c r="S21" s="6">
        <v>3.8461538461538464E-2</v>
      </c>
    </row>
    <row r="22" spans="1:19" x14ac:dyDescent="0.2">
      <c r="A22" s="5">
        <v>45901</v>
      </c>
      <c r="B22" t="s">
        <v>102</v>
      </c>
      <c r="C22">
        <v>126</v>
      </c>
      <c r="D22">
        <v>4</v>
      </c>
      <c r="E22">
        <v>2</v>
      </c>
      <c r="F22">
        <v>127</v>
      </c>
      <c r="G22">
        <v>8</v>
      </c>
      <c r="H22">
        <v>1</v>
      </c>
      <c r="I22">
        <v>0</v>
      </c>
      <c r="J22">
        <v>49</v>
      </c>
      <c r="K22">
        <v>2794</v>
      </c>
      <c r="L22" s="6">
        <v>0.77362918205363007</v>
      </c>
      <c r="M22" s="7">
        <v>69</v>
      </c>
      <c r="N22" s="6">
        <v>0.91193651820069721</v>
      </c>
      <c r="O22" s="6">
        <v>0.78626733789910563</v>
      </c>
      <c r="P22" s="6">
        <v>0.28000000000000003</v>
      </c>
      <c r="Q22" s="6">
        <v>1.5748031496062992E-2</v>
      </c>
      <c r="R22" s="6">
        <v>1.7537580529706515E-2</v>
      </c>
      <c r="S22" s="6">
        <v>5.9259259259259262E-2</v>
      </c>
    </row>
    <row r="23" spans="1:19" x14ac:dyDescent="0.2">
      <c r="A23" s="5">
        <v>45931</v>
      </c>
      <c r="B23" t="s">
        <v>102</v>
      </c>
      <c r="C23">
        <v>128</v>
      </c>
      <c r="D23">
        <v>3</v>
      </c>
      <c r="E23">
        <v>2</v>
      </c>
      <c r="F23">
        <v>128</v>
      </c>
      <c r="G23">
        <v>7</v>
      </c>
      <c r="H23">
        <v>1</v>
      </c>
      <c r="I23">
        <v>0</v>
      </c>
      <c r="J23">
        <v>58</v>
      </c>
      <c r="K23">
        <v>2816</v>
      </c>
      <c r="L23" s="6">
        <v>0.80653879544601548</v>
      </c>
      <c r="M23" s="7">
        <v>63</v>
      </c>
      <c r="N23" s="6">
        <v>0.90134342233074793</v>
      </c>
      <c r="O23" s="6">
        <v>0.83285238507061121</v>
      </c>
      <c r="P23" s="6">
        <v>0.63440830811195181</v>
      </c>
      <c r="Q23" s="6">
        <v>1.5625E-2</v>
      </c>
      <c r="R23" s="6">
        <v>2.0596590909090908E-2</v>
      </c>
      <c r="S23" s="6">
        <v>5.185185185185185E-2</v>
      </c>
    </row>
    <row r="24" spans="1:19" x14ac:dyDescent="0.2">
      <c r="A24" s="5">
        <v>45962</v>
      </c>
      <c r="B24" t="s">
        <v>102</v>
      </c>
      <c r="C24">
        <v>129</v>
      </c>
      <c r="D24">
        <v>7</v>
      </c>
      <c r="E24">
        <v>2</v>
      </c>
      <c r="F24">
        <v>132</v>
      </c>
      <c r="G24">
        <v>3</v>
      </c>
      <c r="H24">
        <v>1</v>
      </c>
      <c r="I24">
        <v>0</v>
      </c>
      <c r="J24">
        <v>58</v>
      </c>
      <c r="K24">
        <v>2904</v>
      </c>
      <c r="L24" s="6">
        <v>0.91976717347402182</v>
      </c>
      <c r="M24" s="7">
        <v>61</v>
      </c>
      <c r="N24" s="6">
        <v>0.97145337884718075</v>
      </c>
      <c r="O24" s="6">
        <v>0.98692392482186042</v>
      </c>
      <c r="P24" s="6">
        <v>0.28000000000000003</v>
      </c>
      <c r="Q24" s="6">
        <v>1.5151515151515152E-2</v>
      </c>
      <c r="R24" s="6">
        <v>1.9972451790633609E-2</v>
      </c>
      <c r="S24" s="6">
        <v>2.2222222222222223E-2</v>
      </c>
    </row>
    <row r="25" spans="1:19" x14ac:dyDescent="0.2">
      <c r="A25" s="5">
        <v>45992</v>
      </c>
      <c r="B25" t="s">
        <v>102</v>
      </c>
      <c r="C25">
        <v>134</v>
      </c>
      <c r="D25">
        <v>5</v>
      </c>
      <c r="E25">
        <v>3</v>
      </c>
      <c r="F25">
        <v>135</v>
      </c>
      <c r="G25">
        <v>5</v>
      </c>
      <c r="H25">
        <v>1</v>
      </c>
      <c r="I25">
        <v>0</v>
      </c>
      <c r="J25">
        <v>70</v>
      </c>
      <c r="K25">
        <v>2970</v>
      </c>
      <c r="L25" s="6">
        <v>0.77310883374546824</v>
      </c>
      <c r="M25" s="7">
        <v>62</v>
      </c>
      <c r="N25" s="6">
        <v>0.8539899441963964</v>
      </c>
      <c r="O25" s="6">
        <v>0.82406935585156782</v>
      </c>
      <c r="P25" s="6">
        <v>0.60931299944556827</v>
      </c>
      <c r="Q25" s="6">
        <v>2.2222222222222223E-2</v>
      </c>
      <c r="R25" s="6">
        <v>2.3569023569023569E-2</v>
      </c>
      <c r="S25" s="6">
        <v>3.5714285714285712E-2</v>
      </c>
    </row>
    <row r="26" spans="1:19" x14ac:dyDescent="0.2">
      <c r="A26" s="5">
        <v>45658</v>
      </c>
      <c r="B26" t="s">
        <v>74</v>
      </c>
      <c r="C26">
        <v>135</v>
      </c>
      <c r="D26">
        <v>0</v>
      </c>
      <c r="E26">
        <v>2</v>
      </c>
      <c r="F26">
        <v>134</v>
      </c>
      <c r="G26">
        <v>12</v>
      </c>
      <c r="H26">
        <v>1</v>
      </c>
      <c r="I26">
        <v>0</v>
      </c>
      <c r="J26">
        <v>51</v>
      </c>
      <c r="K26">
        <v>2948</v>
      </c>
      <c r="L26" s="6">
        <v>0.78991691853945567</v>
      </c>
      <c r="M26" s="7">
        <v>73</v>
      </c>
      <c r="N26" s="6">
        <v>0.94732757859048755</v>
      </c>
      <c r="O26" s="6">
        <v>0.76934957785029445</v>
      </c>
      <c r="P26" s="6">
        <v>0.35180758592430816</v>
      </c>
      <c r="Q26" s="6">
        <v>1.4925373134328358E-2</v>
      </c>
      <c r="R26" s="6">
        <v>1.7299864314789689E-2</v>
      </c>
      <c r="S26" s="6">
        <v>8.2191780821917804E-2</v>
      </c>
    </row>
    <row r="27" spans="1:19" x14ac:dyDescent="0.2">
      <c r="A27" s="5">
        <v>45689</v>
      </c>
      <c r="B27" t="s">
        <v>74</v>
      </c>
      <c r="C27">
        <v>133</v>
      </c>
      <c r="D27">
        <v>4</v>
      </c>
      <c r="E27">
        <v>2</v>
      </c>
      <c r="F27">
        <v>134</v>
      </c>
      <c r="G27">
        <v>6</v>
      </c>
      <c r="H27">
        <v>1</v>
      </c>
      <c r="I27">
        <v>0</v>
      </c>
      <c r="J27">
        <v>60</v>
      </c>
      <c r="K27">
        <v>2948</v>
      </c>
      <c r="L27" s="6">
        <v>0.82061347801118822</v>
      </c>
      <c r="M27" s="7">
        <v>64</v>
      </c>
      <c r="N27" s="6">
        <v>0.90643020400064189</v>
      </c>
      <c r="O27" s="6">
        <v>0.85047558838931869</v>
      </c>
      <c r="P27" s="6">
        <v>0.90474115634771834</v>
      </c>
      <c r="Q27" s="6">
        <v>1.4925373134328358E-2</v>
      </c>
      <c r="R27" s="6">
        <v>2.0352781546811399E-2</v>
      </c>
      <c r="S27" s="6">
        <v>4.2857142857142858E-2</v>
      </c>
    </row>
    <row r="28" spans="1:19" x14ac:dyDescent="0.2">
      <c r="A28" s="5">
        <v>45717</v>
      </c>
      <c r="B28" t="s">
        <v>74</v>
      </c>
      <c r="C28">
        <v>135</v>
      </c>
      <c r="D28">
        <v>3</v>
      </c>
      <c r="E28">
        <v>2</v>
      </c>
      <c r="F28">
        <v>136</v>
      </c>
      <c r="G28">
        <v>9</v>
      </c>
      <c r="H28">
        <v>1</v>
      </c>
      <c r="I28">
        <v>0</v>
      </c>
      <c r="J28">
        <v>53</v>
      </c>
      <c r="K28">
        <v>2992</v>
      </c>
      <c r="L28" s="6">
        <v>0.89689903168480278</v>
      </c>
      <c r="M28" s="7">
        <v>68</v>
      </c>
      <c r="N28" s="6">
        <v>0.96118066813007841</v>
      </c>
      <c r="O28" s="6">
        <v>0.93642435636277721</v>
      </c>
      <c r="P28" s="6">
        <v>0.60854141107058224</v>
      </c>
      <c r="Q28" s="6">
        <v>1.4705882352941176E-2</v>
      </c>
      <c r="R28" s="6">
        <v>1.7713903743315509E-2</v>
      </c>
      <c r="S28" s="6">
        <v>6.2068965517241378E-2</v>
      </c>
    </row>
    <row r="29" spans="1:19" x14ac:dyDescent="0.2">
      <c r="A29" s="5">
        <v>45748</v>
      </c>
      <c r="B29" t="s">
        <v>74</v>
      </c>
      <c r="C29">
        <v>136</v>
      </c>
      <c r="D29">
        <v>1</v>
      </c>
      <c r="E29">
        <v>2</v>
      </c>
      <c r="F29">
        <v>136</v>
      </c>
      <c r="G29">
        <v>5</v>
      </c>
      <c r="H29">
        <v>1</v>
      </c>
      <c r="I29">
        <v>0</v>
      </c>
      <c r="J29">
        <v>41</v>
      </c>
      <c r="K29">
        <v>2992</v>
      </c>
      <c r="L29" s="6">
        <v>0.88935977726765292</v>
      </c>
      <c r="M29" s="7">
        <v>73</v>
      </c>
      <c r="N29" s="6">
        <v>0.84687106989370087</v>
      </c>
      <c r="O29" s="6">
        <v>0.92437290374982473</v>
      </c>
      <c r="P29" s="6">
        <v>0.43954516656157228</v>
      </c>
      <c r="Q29" s="6">
        <v>1.4705882352941176E-2</v>
      </c>
      <c r="R29" s="6">
        <v>1.3703208556149732E-2</v>
      </c>
      <c r="S29" s="6">
        <v>3.5460992907801421E-2</v>
      </c>
    </row>
    <row r="30" spans="1:19" x14ac:dyDescent="0.2">
      <c r="A30" s="5">
        <v>45778</v>
      </c>
      <c r="B30" t="s">
        <v>74</v>
      </c>
      <c r="C30">
        <v>135</v>
      </c>
      <c r="D30">
        <v>5</v>
      </c>
      <c r="E30">
        <v>3</v>
      </c>
      <c r="F30">
        <v>136</v>
      </c>
      <c r="G30">
        <v>8</v>
      </c>
      <c r="H30">
        <v>2</v>
      </c>
      <c r="I30">
        <v>0</v>
      </c>
      <c r="J30">
        <v>73</v>
      </c>
      <c r="K30">
        <v>2992</v>
      </c>
      <c r="L30" s="6">
        <v>0.89960474506413024</v>
      </c>
      <c r="M30" s="7">
        <v>54</v>
      </c>
      <c r="N30" s="6">
        <v>0.91197462103029103</v>
      </c>
      <c r="O30" s="6">
        <v>0.96642930135653438</v>
      </c>
      <c r="P30" s="6">
        <v>0.76875885894103813</v>
      </c>
      <c r="Q30" s="6">
        <v>2.2058823529411766E-2</v>
      </c>
      <c r="R30" s="6">
        <v>2.4398395721925134E-2</v>
      </c>
      <c r="S30" s="6">
        <v>5.5555555555555552E-2</v>
      </c>
    </row>
    <row r="31" spans="1:19" x14ac:dyDescent="0.2">
      <c r="A31" s="5">
        <v>45809</v>
      </c>
      <c r="B31" t="s">
        <v>74</v>
      </c>
      <c r="C31">
        <v>137</v>
      </c>
      <c r="D31">
        <v>6</v>
      </c>
      <c r="E31">
        <v>2</v>
      </c>
      <c r="F31">
        <v>139</v>
      </c>
      <c r="G31">
        <v>8</v>
      </c>
      <c r="H31">
        <v>1</v>
      </c>
      <c r="I31">
        <v>0</v>
      </c>
      <c r="J31">
        <v>65</v>
      </c>
      <c r="K31">
        <v>3058</v>
      </c>
      <c r="L31" s="6">
        <v>0.78657299885689247</v>
      </c>
      <c r="M31" s="7">
        <v>69</v>
      </c>
      <c r="N31" s="6">
        <v>0.89331124798460715</v>
      </c>
      <c r="O31" s="6">
        <v>0.81154968562222152</v>
      </c>
      <c r="P31" s="6">
        <v>0.53727837695811353</v>
      </c>
      <c r="Q31" s="6">
        <v>1.4388489208633094E-2</v>
      </c>
      <c r="R31" s="6">
        <v>2.1255722694571617E-2</v>
      </c>
      <c r="S31" s="6">
        <v>5.4421768707482991E-2</v>
      </c>
    </row>
    <row r="32" spans="1:19" x14ac:dyDescent="0.2">
      <c r="A32" s="5">
        <v>45839</v>
      </c>
      <c r="B32" t="s">
        <v>74</v>
      </c>
      <c r="C32">
        <v>141</v>
      </c>
      <c r="D32">
        <v>2</v>
      </c>
      <c r="E32">
        <v>2</v>
      </c>
      <c r="F32">
        <v>141</v>
      </c>
      <c r="G32">
        <v>5</v>
      </c>
      <c r="H32">
        <v>1</v>
      </c>
      <c r="I32">
        <v>0</v>
      </c>
      <c r="J32">
        <v>51</v>
      </c>
      <c r="K32">
        <v>3102</v>
      </c>
      <c r="L32" s="6">
        <v>0.74216659761133574</v>
      </c>
      <c r="M32" s="7">
        <v>69</v>
      </c>
      <c r="N32" s="6">
        <v>0.95357001806067054</v>
      </c>
      <c r="O32" s="6">
        <v>0.70253136348089384</v>
      </c>
      <c r="P32" s="6">
        <v>0.54938684119802716</v>
      </c>
      <c r="Q32" s="6">
        <v>1.4184397163120567E-2</v>
      </c>
      <c r="R32" s="6">
        <v>1.6441005802707929E-2</v>
      </c>
      <c r="S32" s="6">
        <v>3.4246575342465752E-2</v>
      </c>
    </row>
    <row r="33" spans="1:19" x14ac:dyDescent="0.2">
      <c r="A33" s="5">
        <v>45870</v>
      </c>
      <c r="B33" t="s">
        <v>74</v>
      </c>
      <c r="C33">
        <v>141</v>
      </c>
      <c r="D33">
        <v>4</v>
      </c>
      <c r="E33">
        <v>2</v>
      </c>
      <c r="F33">
        <v>142</v>
      </c>
      <c r="G33">
        <v>11</v>
      </c>
      <c r="H33">
        <v>1</v>
      </c>
      <c r="I33">
        <v>0</v>
      </c>
      <c r="J33">
        <v>79</v>
      </c>
      <c r="K33">
        <v>3124</v>
      </c>
      <c r="L33" s="6">
        <v>0.69276917470751231</v>
      </c>
      <c r="M33" s="7">
        <v>56</v>
      </c>
      <c r="N33" s="6">
        <v>0.92843376096127028</v>
      </c>
      <c r="O33" s="6">
        <v>0.72900794928827883</v>
      </c>
      <c r="P33" s="6">
        <v>0.5942714226412612</v>
      </c>
      <c r="Q33" s="6">
        <v>1.4084507042253521E-2</v>
      </c>
      <c r="R33" s="6">
        <v>2.5288092189500639E-2</v>
      </c>
      <c r="S33" s="6">
        <v>7.1895424836601302E-2</v>
      </c>
    </row>
    <row r="34" spans="1:19" x14ac:dyDescent="0.2">
      <c r="A34" s="5">
        <v>45901</v>
      </c>
      <c r="B34" t="s">
        <v>74</v>
      </c>
      <c r="C34">
        <v>143</v>
      </c>
      <c r="D34">
        <v>3</v>
      </c>
      <c r="E34">
        <v>2</v>
      </c>
      <c r="F34">
        <v>144</v>
      </c>
      <c r="G34">
        <v>13</v>
      </c>
      <c r="H34">
        <v>1</v>
      </c>
      <c r="I34">
        <v>0</v>
      </c>
      <c r="J34">
        <v>109</v>
      </c>
      <c r="K34">
        <v>3168</v>
      </c>
      <c r="L34" s="6">
        <v>0.60228733645720367</v>
      </c>
      <c r="M34" s="7">
        <v>53</v>
      </c>
      <c r="N34" s="6">
        <v>0.91294344958247486</v>
      </c>
      <c r="O34" s="6">
        <v>0.68</v>
      </c>
      <c r="P34" s="6">
        <v>0.62207511141306138</v>
      </c>
      <c r="Q34" s="6">
        <v>1.3888888888888888E-2</v>
      </c>
      <c r="R34" s="6">
        <v>3.4406565656565656E-2</v>
      </c>
      <c r="S34" s="6">
        <v>8.2802547770700632E-2</v>
      </c>
    </row>
    <row r="35" spans="1:19" x14ac:dyDescent="0.2">
      <c r="A35" s="5">
        <v>45931</v>
      </c>
      <c r="B35" t="s">
        <v>74</v>
      </c>
      <c r="C35">
        <v>144</v>
      </c>
      <c r="D35">
        <v>6</v>
      </c>
      <c r="E35">
        <v>2</v>
      </c>
      <c r="F35">
        <v>146</v>
      </c>
      <c r="G35">
        <v>7</v>
      </c>
      <c r="H35">
        <v>1</v>
      </c>
      <c r="I35">
        <v>0</v>
      </c>
      <c r="J35">
        <v>61</v>
      </c>
      <c r="K35">
        <v>3212</v>
      </c>
      <c r="L35" s="6">
        <v>0.75197790407757958</v>
      </c>
      <c r="M35" s="7">
        <v>61</v>
      </c>
      <c r="N35" s="6">
        <v>0.89986733675855435</v>
      </c>
      <c r="O35" s="6">
        <v>0.83103997568953625</v>
      </c>
      <c r="P35" s="6">
        <v>0.5127442907094204</v>
      </c>
      <c r="Q35" s="6">
        <v>1.3698630136986301E-2</v>
      </c>
      <c r="R35" s="6">
        <v>1.8991282689912826E-2</v>
      </c>
      <c r="S35" s="6">
        <v>4.5751633986928102E-2</v>
      </c>
    </row>
    <row r="36" spans="1:19" x14ac:dyDescent="0.2">
      <c r="A36" s="5">
        <v>45962</v>
      </c>
      <c r="B36" t="s">
        <v>74</v>
      </c>
      <c r="C36">
        <v>148</v>
      </c>
      <c r="D36">
        <v>3</v>
      </c>
      <c r="E36">
        <v>3</v>
      </c>
      <c r="F36">
        <v>148</v>
      </c>
      <c r="G36">
        <v>10</v>
      </c>
      <c r="H36">
        <v>1</v>
      </c>
      <c r="I36">
        <v>0</v>
      </c>
      <c r="J36">
        <v>80</v>
      </c>
      <c r="K36">
        <v>3256</v>
      </c>
      <c r="L36" s="6">
        <v>0.85466893917162801</v>
      </c>
      <c r="M36" s="7">
        <v>66</v>
      </c>
      <c r="N36" s="6">
        <v>0.95362920070202828</v>
      </c>
      <c r="O36" s="6">
        <v>0.82577930603779326</v>
      </c>
      <c r="P36" s="6">
        <v>0.46984278833260962</v>
      </c>
      <c r="Q36" s="6">
        <v>2.0270270270270271E-2</v>
      </c>
      <c r="R36" s="6">
        <v>2.4570024570024569E-2</v>
      </c>
      <c r="S36" s="6">
        <v>6.3291139240506333E-2</v>
      </c>
    </row>
    <row r="37" spans="1:19" x14ac:dyDescent="0.2">
      <c r="A37" s="5">
        <v>45992</v>
      </c>
      <c r="B37" t="s">
        <v>74</v>
      </c>
      <c r="C37">
        <v>148</v>
      </c>
      <c r="D37">
        <v>2</v>
      </c>
      <c r="E37">
        <v>3</v>
      </c>
      <c r="F37">
        <v>148</v>
      </c>
      <c r="G37">
        <v>2</v>
      </c>
      <c r="H37">
        <v>2</v>
      </c>
      <c r="I37">
        <v>0</v>
      </c>
      <c r="J37">
        <v>81</v>
      </c>
      <c r="K37">
        <v>3256</v>
      </c>
      <c r="L37" s="6">
        <v>0.75461245392638465</v>
      </c>
      <c r="M37" s="7">
        <v>62</v>
      </c>
      <c r="N37" s="6">
        <v>0.86705200361163648</v>
      </c>
      <c r="O37" s="6">
        <v>0.71982806577748781</v>
      </c>
      <c r="P37" s="6">
        <v>0.60568778169178683</v>
      </c>
      <c r="Q37" s="6">
        <v>2.0270270270270271E-2</v>
      </c>
      <c r="R37" s="6">
        <v>2.4877149877149878E-2</v>
      </c>
      <c r="S37" s="6">
        <v>1.3333333333333334E-2</v>
      </c>
    </row>
    <row r="38" spans="1:19" x14ac:dyDescent="0.2">
      <c r="A38" s="5">
        <v>45658</v>
      </c>
      <c r="B38" t="s">
        <v>108</v>
      </c>
      <c r="C38">
        <v>132</v>
      </c>
      <c r="D38">
        <v>1</v>
      </c>
      <c r="E38">
        <v>2</v>
      </c>
      <c r="F38">
        <v>132</v>
      </c>
      <c r="G38">
        <v>5</v>
      </c>
      <c r="H38">
        <v>1</v>
      </c>
      <c r="I38">
        <v>0</v>
      </c>
      <c r="J38">
        <v>59</v>
      </c>
      <c r="K38">
        <v>2904</v>
      </c>
      <c r="L38" s="6">
        <v>0.71083127998342288</v>
      </c>
      <c r="M38" s="7">
        <v>55</v>
      </c>
      <c r="N38" s="6">
        <v>0.95561091460311054</v>
      </c>
      <c r="O38" s="6">
        <v>0.72848887613016466</v>
      </c>
      <c r="P38" s="6">
        <v>0.82912824619573433</v>
      </c>
      <c r="Q38" s="6">
        <v>1.5151515151515152E-2</v>
      </c>
      <c r="R38" s="6">
        <v>2.0316804407713499E-2</v>
      </c>
      <c r="S38" s="6">
        <v>3.6496350364963501E-2</v>
      </c>
    </row>
    <row r="39" spans="1:19" x14ac:dyDescent="0.2">
      <c r="A39" s="5">
        <v>45689</v>
      </c>
      <c r="B39" t="s">
        <v>108</v>
      </c>
      <c r="C39">
        <v>131</v>
      </c>
      <c r="D39">
        <v>3</v>
      </c>
      <c r="E39">
        <v>2</v>
      </c>
      <c r="F39">
        <v>132</v>
      </c>
      <c r="G39">
        <v>7</v>
      </c>
      <c r="H39">
        <v>1</v>
      </c>
      <c r="I39">
        <v>0</v>
      </c>
      <c r="J39">
        <v>52</v>
      </c>
      <c r="K39">
        <v>2904</v>
      </c>
      <c r="L39" s="6">
        <v>0.79179480077161346</v>
      </c>
      <c r="M39" s="7">
        <v>71</v>
      </c>
      <c r="N39" s="6">
        <v>0.91444713276173062</v>
      </c>
      <c r="O39" s="6">
        <v>0.84894386853443626</v>
      </c>
      <c r="P39" s="6">
        <v>0.6188180097767626</v>
      </c>
      <c r="Q39" s="6">
        <v>1.5151515151515152E-2</v>
      </c>
      <c r="R39" s="6">
        <v>1.790633608815427E-2</v>
      </c>
      <c r="S39" s="6">
        <v>5.0359712230215826E-2</v>
      </c>
    </row>
    <row r="40" spans="1:19" x14ac:dyDescent="0.2">
      <c r="A40" s="5">
        <v>45717</v>
      </c>
      <c r="B40" t="s">
        <v>108</v>
      </c>
      <c r="C40">
        <v>132</v>
      </c>
      <c r="D40">
        <v>3</v>
      </c>
      <c r="E40">
        <v>2</v>
      </c>
      <c r="F40">
        <v>132</v>
      </c>
      <c r="G40">
        <v>4</v>
      </c>
      <c r="H40">
        <v>1</v>
      </c>
      <c r="I40">
        <v>0</v>
      </c>
      <c r="J40">
        <v>67</v>
      </c>
      <c r="K40">
        <v>2904</v>
      </c>
      <c r="L40" s="6">
        <v>0.65327777089171002</v>
      </c>
      <c r="M40" s="7">
        <v>66</v>
      </c>
      <c r="N40" s="6">
        <v>0.81726150237148243</v>
      </c>
      <c r="O40" s="6">
        <v>0.68</v>
      </c>
      <c r="P40" s="6">
        <v>0.53607387101673509</v>
      </c>
      <c r="Q40" s="6">
        <v>1.5151515151515152E-2</v>
      </c>
      <c r="R40" s="6">
        <v>2.3071625344352618E-2</v>
      </c>
      <c r="S40" s="6">
        <v>2.9411764705882353E-2</v>
      </c>
    </row>
    <row r="41" spans="1:19" x14ac:dyDescent="0.2">
      <c r="A41" s="5">
        <v>45748</v>
      </c>
      <c r="B41" t="s">
        <v>108</v>
      </c>
      <c r="C41">
        <v>133</v>
      </c>
      <c r="D41">
        <v>2</v>
      </c>
      <c r="E41">
        <v>1</v>
      </c>
      <c r="F41">
        <v>134</v>
      </c>
      <c r="G41">
        <v>5</v>
      </c>
      <c r="H41">
        <v>0</v>
      </c>
      <c r="I41">
        <v>0</v>
      </c>
      <c r="J41">
        <v>100</v>
      </c>
      <c r="K41">
        <v>2948</v>
      </c>
      <c r="L41" s="6">
        <v>0.86063278921940944</v>
      </c>
      <c r="M41" s="7">
        <v>72</v>
      </c>
      <c r="N41" s="6">
        <v>0.93705662872936868</v>
      </c>
      <c r="O41" s="6">
        <v>0.85503520765951191</v>
      </c>
      <c r="P41" s="6">
        <v>0.76466922909974544</v>
      </c>
      <c r="Q41" s="6">
        <v>7.462686567164179E-3</v>
      </c>
      <c r="R41" s="6">
        <v>3.3921302578018994E-2</v>
      </c>
      <c r="S41" s="6">
        <v>3.5971223021582732E-2</v>
      </c>
    </row>
    <row r="42" spans="1:19" x14ac:dyDescent="0.2">
      <c r="A42" s="5">
        <v>45778</v>
      </c>
      <c r="B42" t="s">
        <v>108</v>
      </c>
      <c r="C42">
        <v>134</v>
      </c>
      <c r="D42">
        <v>1</v>
      </c>
      <c r="E42">
        <v>2</v>
      </c>
      <c r="F42">
        <v>134</v>
      </c>
      <c r="G42">
        <v>5</v>
      </c>
      <c r="H42">
        <v>1</v>
      </c>
      <c r="I42">
        <v>0</v>
      </c>
      <c r="J42">
        <v>78</v>
      </c>
      <c r="K42">
        <v>2948</v>
      </c>
      <c r="L42" s="6">
        <v>0.77065765502572314</v>
      </c>
      <c r="M42" s="7">
        <v>76</v>
      </c>
      <c r="N42" s="6">
        <v>0.89893152072798432</v>
      </c>
      <c r="O42" s="6">
        <v>0.79566002264089519</v>
      </c>
      <c r="P42" s="6">
        <v>0.48329681306057215</v>
      </c>
      <c r="Q42" s="6">
        <v>1.4925373134328358E-2</v>
      </c>
      <c r="R42" s="6">
        <v>2.6458616010854818E-2</v>
      </c>
      <c r="S42" s="6">
        <v>3.5971223021582732E-2</v>
      </c>
    </row>
    <row r="43" spans="1:19" x14ac:dyDescent="0.2">
      <c r="A43" s="5">
        <v>45809</v>
      </c>
      <c r="B43" t="s">
        <v>108</v>
      </c>
      <c r="C43">
        <v>133</v>
      </c>
      <c r="D43">
        <v>1</v>
      </c>
      <c r="E43">
        <v>2</v>
      </c>
      <c r="F43">
        <v>132</v>
      </c>
      <c r="G43">
        <v>4</v>
      </c>
      <c r="H43">
        <v>1</v>
      </c>
      <c r="I43">
        <v>0</v>
      </c>
      <c r="J43">
        <v>84</v>
      </c>
      <c r="K43">
        <v>2904</v>
      </c>
      <c r="L43" s="6">
        <v>0.88874503927605164</v>
      </c>
      <c r="M43" s="7">
        <v>65</v>
      </c>
      <c r="N43" s="6">
        <v>0.90397149368786123</v>
      </c>
      <c r="O43" s="6">
        <v>0.91273305376552116</v>
      </c>
      <c r="P43" s="6">
        <v>0.47482261830859424</v>
      </c>
      <c r="Q43" s="6">
        <v>1.5151515151515152E-2</v>
      </c>
      <c r="R43" s="6">
        <v>2.8925619834710745E-2</v>
      </c>
      <c r="S43" s="6">
        <v>2.9411764705882353E-2</v>
      </c>
    </row>
    <row r="44" spans="1:19" x14ac:dyDescent="0.2">
      <c r="A44" s="5">
        <v>45839</v>
      </c>
      <c r="B44" t="s">
        <v>108</v>
      </c>
      <c r="C44">
        <v>132</v>
      </c>
      <c r="D44">
        <v>2</v>
      </c>
      <c r="E44">
        <v>3</v>
      </c>
      <c r="F44">
        <v>132</v>
      </c>
      <c r="G44">
        <v>11</v>
      </c>
      <c r="H44">
        <v>1</v>
      </c>
      <c r="I44">
        <v>0</v>
      </c>
      <c r="J44">
        <v>72</v>
      </c>
      <c r="K44">
        <v>2904</v>
      </c>
      <c r="L44" s="6">
        <v>0.66148389802845509</v>
      </c>
      <c r="M44" s="7">
        <v>51</v>
      </c>
      <c r="N44" s="6">
        <v>0.84150147071617909</v>
      </c>
      <c r="O44" s="6">
        <v>0.68</v>
      </c>
      <c r="P44" s="6">
        <v>0.50008073666296871</v>
      </c>
      <c r="Q44" s="6">
        <v>2.2727272727272728E-2</v>
      </c>
      <c r="R44" s="6">
        <v>2.4793388429752067E-2</v>
      </c>
      <c r="S44" s="6">
        <v>7.6923076923076927E-2</v>
      </c>
    </row>
    <row r="45" spans="1:19" x14ac:dyDescent="0.2">
      <c r="A45" s="5">
        <v>45870</v>
      </c>
      <c r="B45" t="s">
        <v>108</v>
      </c>
      <c r="C45">
        <v>131</v>
      </c>
      <c r="D45">
        <v>3</v>
      </c>
      <c r="E45">
        <v>3</v>
      </c>
      <c r="F45">
        <v>131</v>
      </c>
      <c r="G45">
        <v>6</v>
      </c>
      <c r="H45">
        <v>2</v>
      </c>
      <c r="I45">
        <v>0</v>
      </c>
      <c r="J45">
        <v>77</v>
      </c>
      <c r="K45">
        <v>2882</v>
      </c>
      <c r="L45" s="6">
        <v>0.88918489493883723</v>
      </c>
      <c r="M45" s="7">
        <v>64</v>
      </c>
      <c r="N45" s="6">
        <v>0.93019380986749811</v>
      </c>
      <c r="O45" s="6">
        <v>0.95257026342768403</v>
      </c>
      <c r="P45" s="6">
        <v>0.59779665490020117</v>
      </c>
      <c r="Q45" s="6">
        <v>2.2900763358778626E-2</v>
      </c>
      <c r="R45" s="6">
        <v>2.6717557251908396E-2</v>
      </c>
      <c r="S45" s="6">
        <v>4.3795620437956206E-2</v>
      </c>
    </row>
    <row r="46" spans="1:19" x14ac:dyDescent="0.2">
      <c r="A46" s="5">
        <v>45901</v>
      </c>
      <c r="B46" t="s">
        <v>108</v>
      </c>
      <c r="C46">
        <v>131</v>
      </c>
      <c r="D46">
        <v>2</v>
      </c>
      <c r="E46">
        <v>2</v>
      </c>
      <c r="F46">
        <v>131</v>
      </c>
      <c r="G46">
        <v>10</v>
      </c>
      <c r="H46">
        <v>1</v>
      </c>
      <c r="I46">
        <v>0</v>
      </c>
      <c r="J46">
        <v>83</v>
      </c>
      <c r="K46">
        <v>2882</v>
      </c>
      <c r="L46" s="6">
        <v>0.7990907432314639</v>
      </c>
      <c r="M46" s="7">
        <v>70</v>
      </c>
      <c r="N46" s="6">
        <v>0.9680711808157747</v>
      </c>
      <c r="O46" s="6">
        <v>0.75939642462683743</v>
      </c>
      <c r="P46" s="6">
        <v>0.56402033311452082</v>
      </c>
      <c r="Q46" s="6">
        <v>1.5267175572519083E-2</v>
      </c>
      <c r="R46" s="6">
        <v>2.879944482997918E-2</v>
      </c>
      <c r="S46" s="6">
        <v>7.0921985815602842E-2</v>
      </c>
    </row>
    <row r="47" spans="1:19" x14ac:dyDescent="0.2">
      <c r="A47" s="5">
        <v>45931</v>
      </c>
      <c r="B47" t="s">
        <v>108</v>
      </c>
      <c r="C47">
        <v>131</v>
      </c>
      <c r="D47">
        <v>2</v>
      </c>
      <c r="E47">
        <v>2</v>
      </c>
      <c r="F47">
        <v>131</v>
      </c>
      <c r="G47">
        <v>6</v>
      </c>
      <c r="H47">
        <v>1</v>
      </c>
      <c r="I47">
        <v>0</v>
      </c>
      <c r="J47">
        <v>48</v>
      </c>
      <c r="K47">
        <v>2882</v>
      </c>
      <c r="L47" s="6">
        <v>0.75013958331246611</v>
      </c>
      <c r="M47" s="7">
        <v>77</v>
      </c>
      <c r="N47" s="6">
        <v>0.91203304599454293</v>
      </c>
      <c r="O47" s="6">
        <v>0.7865403281900587</v>
      </c>
      <c r="P47" s="6">
        <v>0.46025728756437767</v>
      </c>
      <c r="Q47" s="6">
        <v>1.5267175572519083E-2</v>
      </c>
      <c r="R47" s="6">
        <v>1.6655100624566273E-2</v>
      </c>
      <c r="S47" s="6">
        <v>4.3795620437956206E-2</v>
      </c>
    </row>
    <row r="48" spans="1:19" x14ac:dyDescent="0.2">
      <c r="A48" s="5">
        <v>45962</v>
      </c>
      <c r="B48" t="s">
        <v>108</v>
      </c>
      <c r="C48">
        <v>131</v>
      </c>
      <c r="D48">
        <v>5</v>
      </c>
      <c r="E48">
        <v>2</v>
      </c>
      <c r="F48">
        <v>132</v>
      </c>
      <c r="G48">
        <v>12</v>
      </c>
      <c r="H48">
        <v>1</v>
      </c>
      <c r="I48">
        <v>0</v>
      </c>
      <c r="J48">
        <v>64</v>
      </c>
      <c r="K48">
        <v>2904</v>
      </c>
      <c r="L48" s="6">
        <v>0.77143836891850204</v>
      </c>
      <c r="M48" s="7">
        <v>67</v>
      </c>
      <c r="N48" s="6">
        <v>0.93698547666320775</v>
      </c>
      <c r="O48" s="6">
        <v>0.79306281872369522</v>
      </c>
      <c r="P48" s="6">
        <v>0.64462024549489916</v>
      </c>
      <c r="Q48" s="6">
        <v>1.5151515151515152E-2</v>
      </c>
      <c r="R48" s="6">
        <v>2.2038567493112948E-2</v>
      </c>
      <c r="S48" s="6">
        <v>8.3333333333333329E-2</v>
      </c>
    </row>
    <row r="49" spans="1:19" x14ac:dyDescent="0.2">
      <c r="A49" s="5">
        <v>45992</v>
      </c>
      <c r="B49" t="s">
        <v>108</v>
      </c>
      <c r="C49">
        <v>134</v>
      </c>
      <c r="D49">
        <v>2</v>
      </c>
      <c r="E49">
        <v>2</v>
      </c>
      <c r="F49">
        <v>134</v>
      </c>
      <c r="G49">
        <v>2</v>
      </c>
      <c r="H49">
        <v>1</v>
      </c>
      <c r="I49">
        <v>0</v>
      </c>
      <c r="J49">
        <v>82</v>
      </c>
      <c r="K49">
        <v>2948</v>
      </c>
      <c r="L49" s="6">
        <v>0.9767282666630499</v>
      </c>
      <c r="M49" s="7">
        <v>79</v>
      </c>
      <c r="N49" s="6">
        <v>0.86931016307634523</v>
      </c>
      <c r="O49" s="6">
        <v>1</v>
      </c>
      <c r="P49" s="6">
        <v>0.54371272501435486</v>
      </c>
      <c r="Q49" s="6">
        <v>1.4925373134328358E-2</v>
      </c>
      <c r="R49" s="6">
        <v>2.7815468113975575E-2</v>
      </c>
      <c r="S49" s="6">
        <v>1.4705882352941176E-2</v>
      </c>
    </row>
    <row r="50" spans="1:19" x14ac:dyDescent="0.2">
      <c r="A50" s="5">
        <v>45658</v>
      </c>
      <c r="B50" t="s">
        <v>12</v>
      </c>
      <c r="C50">
        <v>62</v>
      </c>
      <c r="D50">
        <v>3</v>
      </c>
      <c r="E50">
        <v>1</v>
      </c>
      <c r="F50">
        <v>63</v>
      </c>
      <c r="G50">
        <v>2</v>
      </c>
      <c r="H50">
        <v>0</v>
      </c>
      <c r="I50">
        <v>0</v>
      </c>
      <c r="J50">
        <v>38</v>
      </c>
      <c r="K50">
        <v>1386</v>
      </c>
      <c r="L50" s="6">
        <v>0.74925545704288721</v>
      </c>
      <c r="M50" s="7">
        <v>57</v>
      </c>
      <c r="N50" s="6">
        <v>0.92657993172257547</v>
      </c>
      <c r="O50" s="6">
        <v>0.77809851623730275</v>
      </c>
      <c r="P50" s="6">
        <v>0.66228151581167771</v>
      </c>
      <c r="Q50" s="6">
        <v>1.5873015873015872E-2</v>
      </c>
      <c r="R50" s="6">
        <v>2.7417027417027416E-2</v>
      </c>
      <c r="S50" s="6">
        <v>3.0769230769230771E-2</v>
      </c>
    </row>
    <row r="51" spans="1:19" x14ac:dyDescent="0.2">
      <c r="A51" s="5">
        <v>45689</v>
      </c>
      <c r="B51" t="s">
        <v>12</v>
      </c>
      <c r="C51">
        <v>64</v>
      </c>
      <c r="D51">
        <v>0</v>
      </c>
      <c r="E51">
        <v>1</v>
      </c>
      <c r="F51">
        <v>64</v>
      </c>
      <c r="G51">
        <v>0</v>
      </c>
      <c r="H51">
        <v>0</v>
      </c>
      <c r="I51">
        <v>0</v>
      </c>
      <c r="J51">
        <v>34</v>
      </c>
      <c r="K51">
        <v>1408</v>
      </c>
      <c r="L51" s="6">
        <v>0.8233468572030862</v>
      </c>
      <c r="M51" s="7">
        <v>77</v>
      </c>
      <c r="N51" s="6">
        <v>0.86670089047556231</v>
      </c>
      <c r="O51" s="6">
        <v>0.8964238309140834</v>
      </c>
      <c r="P51" s="6">
        <v>0.61398509702010973</v>
      </c>
      <c r="Q51" s="6">
        <v>1.5625E-2</v>
      </c>
      <c r="R51" s="6">
        <v>2.4147727272727272E-2</v>
      </c>
      <c r="S51" s="6">
        <v>0</v>
      </c>
    </row>
    <row r="52" spans="1:19" x14ac:dyDescent="0.2">
      <c r="A52" s="5">
        <v>45717</v>
      </c>
      <c r="B52" t="s">
        <v>12</v>
      </c>
      <c r="C52">
        <v>63</v>
      </c>
      <c r="D52">
        <v>1</v>
      </c>
      <c r="E52">
        <v>1</v>
      </c>
      <c r="F52">
        <v>63</v>
      </c>
      <c r="G52">
        <v>6</v>
      </c>
      <c r="H52">
        <v>0</v>
      </c>
      <c r="I52">
        <v>0</v>
      </c>
      <c r="J52">
        <v>39</v>
      </c>
      <c r="K52">
        <v>1386</v>
      </c>
      <c r="L52" s="6">
        <v>0.76294230095293802</v>
      </c>
      <c r="M52" s="7">
        <v>69</v>
      </c>
      <c r="N52" s="6">
        <v>0.90307363959756115</v>
      </c>
      <c r="O52" s="6">
        <v>0.76433840653220919</v>
      </c>
      <c r="P52" s="6">
        <v>0.53672267559629872</v>
      </c>
      <c r="Q52" s="6">
        <v>1.5873015873015872E-2</v>
      </c>
      <c r="R52" s="6">
        <v>2.813852813852814E-2</v>
      </c>
      <c r="S52" s="6">
        <v>8.6956521739130432E-2</v>
      </c>
    </row>
    <row r="53" spans="1:19" x14ac:dyDescent="0.2">
      <c r="A53" s="5">
        <v>45748</v>
      </c>
      <c r="B53" t="s">
        <v>12</v>
      </c>
      <c r="C53">
        <v>63</v>
      </c>
      <c r="D53">
        <v>1</v>
      </c>
      <c r="E53">
        <v>1</v>
      </c>
      <c r="F53">
        <v>63</v>
      </c>
      <c r="G53">
        <v>3</v>
      </c>
      <c r="H53">
        <v>0</v>
      </c>
      <c r="I53">
        <v>0</v>
      </c>
      <c r="J53">
        <v>46</v>
      </c>
      <c r="K53">
        <v>1386</v>
      </c>
      <c r="L53" s="6">
        <v>0.93266831752695234</v>
      </c>
      <c r="M53" s="7">
        <v>73</v>
      </c>
      <c r="N53" s="6">
        <v>0.95254673278447044</v>
      </c>
      <c r="O53" s="6">
        <v>0.91888727197556341</v>
      </c>
      <c r="P53" s="6">
        <v>0.69428533227362554</v>
      </c>
      <c r="Q53" s="6">
        <v>1.5873015873015872E-2</v>
      </c>
      <c r="R53" s="6">
        <v>3.3189033189033192E-2</v>
      </c>
      <c r="S53" s="6">
        <v>4.5454545454545456E-2</v>
      </c>
    </row>
    <row r="54" spans="1:19" x14ac:dyDescent="0.2">
      <c r="A54" s="5">
        <v>45778</v>
      </c>
      <c r="B54" t="s">
        <v>12</v>
      </c>
      <c r="C54">
        <v>63</v>
      </c>
      <c r="D54">
        <v>4</v>
      </c>
      <c r="E54">
        <v>1</v>
      </c>
      <c r="F54">
        <v>64</v>
      </c>
      <c r="G54">
        <v>2</v>
      </c>
      <c r="H54">
        <v>0</v>
      </c>
      <c r="I54">
        <v>0</v>
      </c>
      <c r="J54">
        <v>25</v>
      </c>
      <c r="K54">
        <v>1408</v>
      </c>
      <c r="L54" s="6">
        <v>0.7085494896733876</v>
      </c>
      <c r="M54" s="7">
        <v>53</v>
      </c>
      <c r="N54" s="6">
        <v>0.88344805340815058</v>
      </c>
      <c r="O54" s="6">
        <v>0.700988216274264</v>
      </c>
      <c r="P54" s="6">
        <v>0.63372561914479597</v>
      </c>
      <c r="Q54" s="6">
        <v>1.5625E-2</v>
      </c>
      <c r="R54" s="6">
        <v>1.775568181818182E-2</v>
      </c>
      <c r="S54" s="6">
        <v>3.0303030303030304E-2</v>
      </c>
    </row>
    <row r="55" spans="1:19" x14ac:dyDescent="0.2">
      <c r="A55" s="5">
        <v>45809</v>
      </c>
      <c r="B55" t="s">
        <v>12</v>
      </c>
      <c r="C55">
        <v>66</v>
      </c>
      <c r="D55">
        <v>0</v>
      </c>
      <c r="E55">
        <v>1</v>
      </c>
      <c r="F55">
        <v>66</v>
      </c>
      <c r="G55">
        <v>4</v>
      </c>
      <c r="H55">
        <v>0</v>
      </c>
      <c r="I55">
        <v>0</v>
      </c>
      <c r="J55">
        <v>47</v>
      </c>
      <c r="K55">
        <v>1452</v>
      </c>
      <c r="L55" s="6">
        <v>0.8643333217862833</v>
      </c>
      <c r="M55" s="7">
        <v>68</v>
      </c>
      <c r="N55" s="6">
        <v>0.88295481352157812</v>
      </c>
      <c r="O55" s="6">
        <v>0.87933669572315387</v>
      </c>
      <c r="P55" s="6">
        <v>0.7303590947297165</v>
      </c>
      <c r="Q55" s="6">
        <v>1.5151515151515152E-2</v>
      </c>
      <c r="R55" s="6">
        <v>3.2369146005509643E-2</v>
      </c>
      <c r="S55" s="6">
        <v>5.7142857142857141E-2</v>
      </c>
    </row>
    <row r="56" spans="1:19" x14ac:dyDescent="0.2">
      <c r="A56" s="5">
        <v>45839</v>
      </c>
      <c r="B56" t="s">
        <v>12</v>
      </c>
      <c r="C56">
        <v>65</v>
      </c>
      <c r="D56">
        <v>0</v>
      </c>
      <c r="E56">
        <v>1</v>
      </c>
      <c r="F56">
        <v>64</v>
      </c>
      <c r="G56">
        <v>3</v>
      </c>
      <c r="H56">
        <v>0</v>
      </c>
      <c r="I56">
        <v>0</v>
      </c>
      <c r="J56">
        <v>23</v>
      </c>
      <c r="K56">
        <v>1408</v>
      </c>
      <c r="L56" s="6">
        <v>0.94042003862988699</v>
      </c>
      <c r="M56" s="7">
        <v>65</v>
      </c>
      <c r="N56" s="6">
        <v>0.94249201267433314</v>
      </c>
      <c r="O56" s="6">
        <v>0.89365366905480947</v>
      </c>
      <c r="P56" s="6">
        <v>0.88853986425747911</v>
      </c>
      <c r="Q56" s="6">
        <v>1.5625E-2</v>
      </c>
      <c r="R56" s="6">
        <v>1.6335227272727272E-2</v>
      </c>
      <c r="S56" s="6">
        <v>4.4776119402985072E-2</v>
      </c>
    </row>
    <row r="57" spans="1:19" x14ac:dyDescent="0.2">
      <c r="A57" s="5">
        <v>45870</v>
      </c>
      <c r="B57" t="s">
        <v>12</v>
      </c>
      <c r="C57">
        <v>64</v>
      </c>
      <c r="D57">
        <v>2</v>
      </c>
      <c r="E57">
        <v>1</v>
      </c>
      <c r="F57">
        <v>64</v>
      </c>
      <c r="G57">
        <v>1</v>
      </c>
      <c r="H57">
        <v>0</v>
      </c>
      <c r="I57">
        <v>0</v>
      </c>
      <c r="J57">
        <v>35</v>
      </c>
      <c r="K57">
        <v>1408</v>
      </c>
      <c r="L57" s="6">
        <v>0.93091277284874552</v>
      </c>
      <c r="M57" s="7">
        <v>69</v>
      </c>
      <c r="N57" s="6">
        <v>0.94020736939673366</v>
      </c>
      <c r="O57" s="6">
        <v>0.9235586311701085</v>
      </c>
      <c r="P57" s="6">
        <v>0.74338783198992475</v>
      </c>
      <c r="Q57" s="6">
        <v>1.5625E-2</v>
      </c>
      <c r="R57" s="6">
        <v>2.4857954545454544E-2</v>
      </c>
      <c r="S57" s="6">
        <v>1.5384615384615385E-2</v>
      </c>
    </row>
    <row r="58" spans="1:19" x14ac:dyDescent="0.2">
      <c r="A58" s="5">
        <v>45901</v>
      </c>
      <c r="B58" t="s">
        <v>12</v>
      </c>
      <c r="C58">
        <v>65</v>
      </c>
      <c r="D58">
        <v>0</v>
      </c>
      <c r="E58">
        <v>1</v>
      </c>
      <c r="F58">
        <v>64</v>
      </c>
      <c r="G58">
        <v>3</v>
      </c>
      <c r="H58">
        <v>0</v>
      </c>
      <c r="I58">
        <v>0</v>
      </c>
      <c r="J58">
        <v>19</v>
      </c>
      <c r="K58">
        <v>1408</v>
      </c>
      <c r="L58" s="6">
        <v>0.83005904944212716</v>
      </c>
      <c r="M58" s="7">
        <v>67</v>
      </c>
      <c r="N58" s="6">
        <v>0.89327498097489921</v>
      </c>
      <c r="O58" s="6">
        <v>0.88609514791130062</v>
      </c>
      <c r="P58" s="6">
        <v>0.81764526045682939</v>
      </c>
      <c r="Q58" s="6">
        <v>1.5625E-2</v>
      </c>
      <c r="R58" s="6">
        <v>1.3494318181818182E-2</v>
      </c>
      <c r="S58" s="6">
        <v>4.4776119402985072E-2</v>
      </c>
    </row>
    <row r="59" spans="1:19" x14ac:dyDescent="0.2">
      <c r="A59" s="5">
        <v>45931</v>
      </c>
      <c r="B59" t="s">
        <v>12</v>
      </c>
      <c r="C59">
        <v>64</v>
      </c>
      <c r="D59">
        <v>0</v>
      </c>
      <c r="E59">
        <v>1</v>
      </c>
      <c r="F59">
        <v>64</v>
      </c>
      <c r="G59">
        <v>2</v>
      </c>
      <c r="H59">
        <v>0</v>
      </c>
      <c r="I59">
        <v>0</v>
      </c>
      <c r="J59">
        <v>29</v>
      </c>
      <c r="K59">
        <v>1408</v>
      </c>
      <c r="L59" s="6">
        <v>0.81108700347781504</v>
      </c>
      <c r="M59" s="7">
        <v>59</v>
      </c>
      <c r="N59" s="6">
        <v>0.93709916678396343</v>
      </c>
      <c r="O59" s="6">
        <v>0.80358637678829914</v>
      </c>
      <c r="P59" s="6">
        <v>0.698843277600673</v>
      </c>
      <c r="Q59" s="6">
        <v>1.5625E-2</v>
      </c>
      <c r="R59" s="6">
        <v>2.0596590909090908E-2</v>
      </c>
      <c r="S59" s="6">
        <v>3.0303030303030304E-2</v>
      </c>
    </row>
    <row r="60" spans="1:19" x14ac:dyDescent="0.2">
      <c r="A60" s="5">
        <v>45962</v>
      </c>
      <c r="B60" t="s">
        <v>12</v>
      </c>
      <c r="C60">
        <v>63</v>
      </c>
      <c r="D60">
        <v>3</v>
      </c>
      <c r="E60">
        <v>1</v>
      </c>
      <c r="F60">
        <v>64</v>
      </c>
      <c r="G60">
        <v>2</v>
      </c>
      <c r="H60">
        <v>0</v>
      </c>
      <c r="I60">
        <v>0</v>
      </c>
      <c r="J60">
        <v>26</v>
      </c>
      <c r="K60">
        <v>1408</v>
      </c>
      <c r="L60" s="6">
        <v>0.75119267280103752</v>
      </c>
      <c r="M60" s="7">
        <v>72</v>
      </c>
      <c r="N60" s="6">
        <v>0.94583232915157123</v>
      </c>
      <c r="O60" s="6">
        <v>0.72489683548787798</v>
      </c>
      <c r="P60" s="6">
        <v>0.60475507330482237</v>
      </c>
      <c r="Q60" s="6">
        <v>1.5625E-2</v>
      </c>
      <c r="R60" s="6">
        <v>1.8465909090909092E-2</v>
      </c>
      <c r="S60" s="6">
        <v>3.0303030303030304E-2</v>
      </c>
    </row>
    <row r="61" spans="1:19" x14ac:dyDescent="0.2">
      <c r="A61" s="5">
        <v>45992</v>
      </c>
      <c r="B61" t="s">
        <v>12</v>
      </c>
      <c r="C61">
        <v>65</v>
      </c>
      <c r="D61">
        <v>1</v>
      </c>
      <c r="E61">
        <v>1</v>
      </c>
      <c r="F61">
        <v>65</v>
      </c>
      <c r="G61">
        <v>2</v>
      </c>
      <c r="H61">
        <v>0</v>
      </c>
      <c r="I61">
        <v>0</v>
      </c>
      <c r="J61">
        <v>40</v>
      </c>
      <c r="K61">
        <v>1430</v>
      </c>
      <c r="L61" s="6">
        <v>0.89133526358257675</v>
      </c>
      <c r="M61" s="7">
        <v>65</v>
      </c>
      <c r="N61" s="6">
        <v>0.89436518309884094</v>
      </c>
      <c r="O61" s="6">
        <v>0.91684563797100571</v>
      </c>
      <c r="P61" s="6">
        <v>0.59486939863190313</v>
      </c>
      <c r="Q61" s="6">
        <v>1.5384615384615385E-2</v>
      </c>
      <c r="R61" s="6">
        <v>2.7972027972027972E-2</v>
      </c>
      <c r="S61" s="6">
        <v>2.9850746268656716E-2</v>
      </c>
    </row>
    <row r="62" spans="1:19" x14ac:dyDescent="0.2">
      <c r="A62" s="5">
        <v>45658</v>
      </c>
      <c r="B62" t="s">
        <v>124</v>
      </c>
      <c r="C62">
        <v>51</v>
      </c>
      <c r="D62">
        <v>0</v>
      </c>
      <c r="E62">
        <v>1</v>
      </c>
      <c r="F62">
        <v>50</v>
      </c>
      <c r="G62">
        <v>3</v>
      </c>
      <c r="H62">
        <v>0</v>
      </c>
      <c r="I62">
        <v>0</v>
      </c>
      <c r="J62">
        <v>23</v>
      </c>
      <c r="K62">
        <v>1100</v>
      </c>
      <c r="L62" s="6">
        <v>0.84806967524502441</v>
      </c>
      <c r="M62" s="7">
        <v>62</v>
      </c>
      <c r="N62" s="6">
        <v>0.96181211687347679</v>
      </c>
      <c r="O62" s="6">
        <v>0.91040415024085208</v>
      </c>
      <c r="P62" s="6">
        <v>0.74665249990183813</v>
      </c>
      <c r="Q62" s="6">
        <v>0.02</v>
      </c>
      <c r="R62" s="6">
        <v>2.0909090909090908E-2</v>
      </c>
      <c r="S62" s="6">
        <v>5.6603773584905662E-2</v>
      </c>
    </row>
    <row r="63" spans="1:19" x14ac:dyDescent="0.2">
      <c r="A63" s="5">
        <v>45689</v>
      </c>
      <c r="B63" t="s">
        <v>124</v>
      </c>
      <c r="C63">
        <v>50</v>
      </c>
      <c r="D63">
        <v>0</v>
      </c>
      <c r="E63">
        <v>1</v>
      </c>
      <c r="F63">
        <v>50</v>
      </c>
      <c r="G63">
        <v>4</v>
      </c>
      <c r="H63">
        <v>0</v>
      </c>
      <c r="I63">
        <v>0</v>
      </c>
      <c r="J63">
        <v>25</v>
      </c>
      <c r="K63">
        <v>1100</v>
      </c>
      <c r="L63" s="6">
        <v>0.80303622775623584</v>
      </c>
      <c r="M63" s="7">
        <v>62</v>
      </c>
      <c r="N63" s="6">
        <v>0.97848761376411086</v>
      </c>
      <c r="O63" s="6">
        <v>0.82075871261330002</v>
      </c>
      <c r="P63" s="6">
        <v>0.50741383407709384</v>
      </c>
      <c r="Q63" s="6">
        <v>0.02</v>
      </c>
      <c r="R63" s="6">
        <v>2.2727272727272728E-2</v>
      </c>
      <c r="S63" s="6">
        <v>7.407407407407407E-2</v>
      </c>
    </row>
    <row r="64" spans="1:19" x14ac:dyDescent="0.2">
      <c r="A64" s="5">
        <v>45717</v>
      </c>
      <c r="B64" t="s">
        <v>124</v>
      </c>
      <c r="C64">
        <v>49</v>
      </c>
      <c r="D64">
        <v>0</v>
      </c>
      <c r="E64">
        <v>1</v>
      </c>
      <c r="F64">
        <v>48</v>
      </c>
      <c r="G64">
        <v>2</v>
      </c>
      <c r="H64">
        <v>0</v>
      </c>
      <c r="I64">
        <v>0</v>
      </c>
      <c r="J64">
        <v>23</v>
      </c>
      <c r="K64">
        <v>1056</v>
      </c>
      <c r="L64" s="6">
        <v>0.73460797777739284</v>
      </c>
      <c r="M64" s="7">
        <v>64</v>
      </c>
      <c r="N64" s="6">
        <v>0.87112848493771111</v>
      </c>
      <c r="O64" s="6">
        <v>0.81081967325978288</v>
      </c>
      <c r="P64" s="6">
        <v>0.48351800545965329</v>
      </c>
      <c r="Q64" s="6">
        <v>2.0833333333333332E-2</v>
      </c>
      <c r="R64" s="6">
        <v>2.1780303030303032E-2</v>
      </c>
      <c r="S64" s="6">
        <v>0.04</v>
      </c>
    </row>
    <row r="65" spans="1:19" x14ac:dyDescent="0.2">
      <c r="A65" s="5">
        <v>45748</v>
      </c>
      <c r="B65" t="s">
        <v>124</v>
      </c>
      <c r="C65">
        <v>48</v>
      </c>
      <c r="D65">
        <v>2</v>
      </c>
      <c r="E65">
        <v>1</v>
      </c>
      <c r="F65">
        <v>48</v>
      </c>
      <c r="G65">
        <v>1</v>
      </c>
      <c r="H65">
        <v>0</v>
      </c>
      <c r="I65">
        <v>0</v>
      </c>
      <c r="J65">
        <v>18</v>
      </c>
      <c r="K65">
        <v>1056</v>
      </c>
      <c r="L65" s="6">
        <v>0.76178890586878534</v>
      </c>
      <c r="M65" s="7">
        <v>68</v>
      </c>
      <c r="N65" s="6">
        <v>0.94978373828832818</v>
      </c>
      <c r="O65" s="6">
        <v>0.82058391010360943</v>
      </c>
      <c r="P65" s="6">
        <v>0.64633939708340338</v>
      </c>
      <c r="Q65" s="6">
        <v>2.0833333333333332E-2</v>
      </c>
      <c r="R65" s="6">
        <v>1.7045454545454544E-2</v>
      </c>
      <c r="S65" s="6">
        <v>2.0408163265306121E-2</v>
      </c>
    </row>
    <row r="66" spans="1:19" x14ac:dyDescent="0.2">
      <c r="A66" s="5">
        <v>45778</v>
      </c>
      <c r="B66" t="s">
        <v>124</v>
      </c>
      <c r="C66">
        <v>49</v>
      </c>
      <c r="D66">
        <v>0</v>
      </c>
      <c r="E66">
        <v>1</v>
      </c>
      <c r="F66">
        <v>48</v>
      </c>
      <c r="G66">
        <v>3</v>
      </c>
      <c r="H66">
        <v>0</v>
      </c>
      <c r="I66">
        <v>0</v>
      </c>
      <c r="J66">
        <v>19</v>
      </c>
      <c r="K66">
        <v>1056</v>
      </c>
      <c r="L66" s="6">
        <v>0.74371270211110507</v>
      </c>
      <c r="M66" s="7">
        <v>70</v>
      </c>
      <c r="N66" s="6">
        <v>0.90191454022431694</v>
      </c>
      <c r="O66" s="6">
        <v>0.74737985151301478</v>
      </c>
      <c r="P66" s="6">
        <v>0.73623875867201205</v>
      </c>
      <c r="Q66" s="6">
        <v>2.0833333333333332E-2</v>
      </c>
      <c r="R66" s="6">
        <v>1.7992424242424244E-2</v>
      </c>
      <c r="S66" s="6">
        <v>5.8823529411764705E-2</v>
      </c>
    </row>
    <row r="67" spans="1:19" x14ac:dyDescent="0.2">
      <c r="A67" s="5">
        <v>45809</v>
      </c>
      <c r="B67" t="s">
        <v>124</v>
      </c>
      <c r="C67">
        <v>48</v>
      </c>
      <c r="D67">
        <v>2</v>
      </c>
      <c r="E67">
        <v>1</v>
      </c>
      <c r="F67">
        <v>48</v>
      </c>
      <c r="G67">
        <v>0</v>
      </c>
      <c r="H67">
        <v>0</v>
      </c>
      <c r="I67">
        <v>0</v>
      </c>
      <c r="J67">
        <v>26</v>
      </c>
      <c r="K67">
        <v>1056</v>
      </c>
      <c r="L67" s="6">
        <v>0.66402632552995999</v>
      </c>
      <c r="M67" s="7">
        <v>72</v>
      </c>
      <c r="N67" s="6">
        <v>0.94041906249408036</v>
      </c>
      <c r="O67" s="6">
        <v>0.70752354006928442</v>
      </c>
      <c r="P67" s="6">
        <v>0.68270577687229617</v>
      </c>
      <c r="Q67" s="6">
        <v>2.0833333333333332E-2</v>
      </c>
      <c r="R67" s="6">
        <v>2.462121212121212E-2</v>
      </c>
      <c r="S67" s="6">
        <v>0</v>
      </c>
    </row>
    <row r="68" spans="1:19" x14ac:dyDescent="0.2">
      <c r="A68" s="5">
        <v>45839</v>
      </c>
      <c r="B68" t="s">
        <v>124</v>
      </c>
      <c r="C68">
        <v>49</v>
      </c>
      <c r="D68">
        <v>3</v>
      </c>
      <c r="E68">
        <v>1</v>
      </c>
      <c r="F68">
        <v>50</v>
      </c>
      <c r="G68">
        <v>0</v>
      </c>
      <c r="H68">
        <v>0</v>
      </c>
      <c r="I68">
        <v>0</v>
      </c>
      <c r="J68">
        <v>27</v>
      </c>
      <c r="K68">
        <v>1100</v>
      </c>
      <c r="L68" s="6">
        <v>0.75419702175965575</v>
      </c>
      <c r="M68" s="7">
        <v>67</v>
      </c>
      <c r="N68" s="6">
        <v>0.87001127875042872</v>
      </c>
      <c r="O68" s="6">
        <v>0.765549130127258</v>
      </c>
      <c r="P68" s="6">
        <v>0.69015784527067492</v>
      </c>
      <c r="Q68" s="6">
        <v>0.02</v>
      </c>
      <c r="R68" s="6">
        <v>2.4545454545454544E-2</v>
      </c>
      <c r="S68" s="6">
        <v>0</v>
      </c>
    </row>
    <row r="69" spans="1:19" x14ac:dyDescent="0.2">
      <c r="A69" s="5">
        <v>45870</v>
      </c>
      <c r="B69" t="s">
        <v>124</v>
      </c>
      <c r="C69">
        <v>51</v>
      </c>
      <c r="D69">
        <v>2</v>
      </c>
      <c r="E69">
        <v>1</v>
      </c>
      <c r="F69">
        <v>52</v>
      </c>
      <c r="G69">
        <v>1</v>
      </c>
      <c r="H69">
        <v>0</v>
      </c>
      <c r="I69">
        <v>0</v>
      </c>
      <c r="J69">
        <v>38</v>
      </c>
      <c r="K69">
        <v>1144</v>
      </c>
      <c r="L69" s="6">
        <v>0.95028339947771623</v>
      </c>
      <c r="M69" s="7">
        <v>64</v>
      </c>
      <c r="N69" s="6">
        <v>0.92321889435619742</v>
      </c>
      <c r="O69" s="6">
        <v>1</v>
      </c>
      <c r="P69" s="6">
        <v>0.4346281484333186</v>
      </c>
      <c r="Q69" s="6">
        <v>1.9230769230769232E-2</v>
      </c>
      <c r="R69" s="6">
        <v>3.3216783216783216E-2</v>
      </c>
      <c r="S69" s="6">
        <v>1.8867924528301886E-2</v>
      </c>
    </row>
    <row r="70" spans="1:19" x14ac:dyDescent="0.2">
      <c r="A70" s="5">
        <v>45901</v>
      </c>
      <c r="B70" t="s">
        <v>124</v>
      </c>
      <c r="C70">
        <v>52</v>
      </c>
      <c r="D70">
        <v>2</v>
      </c>
      <c r="E70">
        <v>1</v>
      </c>
      <c r="F70">
        <v>52</v>
      </c>
      <c r="G70">
        <v>6</v>
      </c>
      <c r="H70">
        <v>0</v>
      </c>
      <c r="I70">
        <v>0</v>
      </c>
      <c r="J70">
        <v>35</v>
      </c>
      <c r="K70">
        <v>1144</v>
      </c>
      <c r="L70" s="6">
        <v>0.85824803069560529</v>
      </c>
      <c r="M70" s="7">
        <v>67</v>
      </c>
      <c r="N70" s="6">
        <v>0.88755604694724088</v>
      </c>
      <c r="O70" s="6">
        <v>0.84731722050858038</v>
      </c>
      <c r="P70" s="6">
        <v>0.29126268005864175</v>
      </c>
      <c r="Q70" s="6">
        <v>1.9230769230769232E-2</v>
      </c>
      <c r="R70" s="6">
        <v>3.0594405594405596E-2</v>
      </c>
      <c r="S70" s="6">
        <v>0.10344827586206896</v>
      </c>
    </row>
    <row r="71" spans="1:19" x14ac:dyDescent="0.2">
      <c r="A71" s="5">
        <v>45931</v>
      </c>
      <c r="B71" t="s">
        <v>124</v>
      </c>
      <c r="C71">
        <v>53</v>
      </c>
      <c r="D71">
        <v>2</v>
      </c>
      <c r="E71">
        <v>1</v>
      </c>
      <c r="F71">
        <v>54</v>
      </c>
      <c r="G71">
        <v>3</v>
      </c>
      <c r="H71">
        <v>0</v>
      </c>
      <c r="I71">
        <v>0</v>
      </c>
      <c r="J71">
        <v>14</v>
      </c>
      <c r="K71">
        <v>1188</v>
      </c>
      <c r="L71" s="6">
        <v>0.83654110879691557</v>
      </c>
      <c r="M71" s="7">
        <v>83</v>
      </c>
      <c r="N71" s="6">
        <v>0.8328965459076707</v>
      </c>
      <c r="O71" s="6">
        <v>0.84416084435247352</v>
      </c>
      <c r="P71" s="6">
        <v>0.55677705282666234</v>
      </c>
      <c r="Q71" s="6">
        <v>1.8518518518518517E-2</v>
      </c>
      <c r="R71" s="6">
        <v>1.1784511784511785E-2</v>
      </c>
      <c r="S71" s="6">
        <v>5.2631578947368418E-2</v>
      </c>
    </row>
    <row r="72" spans="1:19" x14ac:dyDescent="0.2">
      <c r="A72" s="5">
        <v>45962</v>
      </c>
      <c r="B72" t="s">
        <v>124</v>
      </c>
      <c r="C72">
        <v>54</v>
      </c>
      <c r="D72">
        <v>1</v>
      </c>
      <c r="E72">
        <v>1</v>
      </c>
      <c r="F72">
        <v>54</v>
      </c>
      <c r="G72">
        <v>3</v>
      </c>
      <c r="H72">
        <v>0</v>
      </c>
      <c r="I72">
        <v>0</v>
      </c>
      <c r="J72">
        <v>25</v>
      </c>
      <c r="K72">
        <v>1188</v>
      </c>
      <c r="L72" s="6">
        <v>0.91635641791665046</v>
      </c>
      <c r="M72" s="7">
        <v>73</v>
      </c>
      <c r="N72" s="6">
        <v>0.87809884941602923</v>
      </c>
      <c r="O72" s="6">
        <v>0.89019018521379201</v>
      </c>
      <c r="P72" s="6">
        <v>0.49694900413018422</v>
      </c>
      <c r="Q72" s="6">
        <v>1.8518518518518517E-2</v>
      </c>
      <c r="R72" s="6">
        <v>2.1043771043771045E-2</v>
      </c>
      <c r="S72" s="6">
        <v>5.2631578947368418E-2</v>
      </c>
    </row>
    <row r="73" spans="1:19" x14ac:dyDescent="0.2">
      <c r="A73" s="5">
        <v>45992</v>
      </c>
      <c r="B73" t="s">
        <v>124</v>
      </c>
      <c r="C73">
        <v>54</v>
      </c>
      <c r="D73">
        <v>0</v>
      </c>
      <c r="E73">
        <v>1</v>
      </c>
      <c r="F73">
        <v>54</v>
      </c>
      <c r="G73">
        <v>7</v>
      </c>
      <c r="H73">
        <v>0</v>
      </c>
      <c r="I73">
        <v>0</v>
      </c>
      <c r="J73">
        <v>35</v>
      </c>
      <c r="K73">
        <v>1188</v>
      </c>
      <c r="L73" s="6">
        <v>0.7217889200064781</v>
      </c>
      <c r="M73" s="7">
        <v>66</v>
      </c>
      <c r="N73" s="6">
        <v>0.90165935690811438</v>
      </c>
      <c r="O73" s="6">
        <v>0.74100871915043076</v>
      </c>
      <c r="P73" s="6">
        <v>0.82306379722285139</v>
      </c>
      <c r="Q73" s="6">
        <v>1.8518518518518517E-2</v>
      </c>
      <c r="R73" s="6">
        <v>2.9461279461279462E-2</v>
      </c>
      <c r="S73" s="6">
        <v>0.11475409836065574</v>
      </c>
    </row>
    <row r="74" spans="1:19" x14ac:dyDescent="0.2">
      <c r="A74" s="5">
        <v>45658</v>
      </c>
      <c r="B74" t="s">
        <v>133</v>
      </c>
      <c r="C74">
        <v>63</v>
      </c>
      <c r="D74">
        <v>0</v>
      </c>
      <c r="E74">
        <v>1</v>
      </c>
      <c r="F74">
        <v>62</v>
      </c>
      <c r="G74">
        <v>3</v>
      </c>
      <c r="H74">
        <v>0</v>
      </c>
      <c r="I74">
        <v>0</v>
      </c>
      <c r="J74">
        <v>45</v>
      </c>
      <c r="K74">
        <v>1364</v>
      </c>
      <c r="L74" s="6">
        <v>0.75110177173136561</v>
      </c>
      <c r="M74" s="7">
        <v>66</v>
      </c>
      <c r="N74" s="6">
        <v>0.97258242687977248</v>
      </c>
      <c r="O74" s="6">
        <v>0.7185213182795831</v>
      </c>
      <c r="P74" s="6">
        <v>0.85777395542720014</v>
      </c>
      <c r="Q74" s="6">
        <v>1.6129032258064516E-2</v>
      </c>
      <c r="R74" s="6">
        <v>3.2991202346041054E-2</v>
      </c>
      <c r="S74" s="6">
        <v>4.6153846153846156E-2</v>
      </c>
    </row>
    <row r="75" spans="1:19" x14ac:dyDescent="0.2">
      <c r="A75" s="5">
        <v>45689</v>
      </c>
      <c r="B75" t="s">
        <v>133</v>
      </c>
      <c r="C75">
        <v>62</v>
      </c>
      <c r="D75">
        <v>2</v>
      </c>
      <c r="E75">
        <v>1</v>
      </c>
      <c r="F75">
        <v>62</v>
      </c>
      <c r="G75">
        <v>4</v>
      </c>
      <c r="H75">
        <v>0</v>
      </c>
      <c r="I75">
        <v>0</v>
      </c>
      <c r="J75">
        <v>48</v>
      </c>
      <c r="K75">
        <v>1364</v>
      </c>
      <c r="L75" s="6">
        <v>0.7511640566291462</v>
      </c>
      <c r="M75" s="7">
        <v>53</v>
      </c>
      <c r="N75" s="6">
        <v>1</v>
      </c>
      <c r="O75" s="6">
        <v>0.77638671152139571</v>
      </c>
      <c r="P75" s="6">
        <v>0.71359078377932672</v>
      </c>
      <c r="Q75" s="6">
        <v>1.6129032258064516E-2</v>
      </c>
      <c r="R75" s="6">
        <v>3.519061583577713E-2</v>
      </c>
      <c r="S75" s="6">
        <v>6.0606060606060608E-2</v>
      </c>
    </row>
    <row r="76" spans="1:19" x14ac:dyDescent="0.2">
      <c r="A76" s="5">
        <v>45717</v>
      </c>
      <c r="B76" t="s">
        <v>133</v>
      </c>
      <c r="C76">
        <v>63</v>
      </c>
      <c r="D76">
        <v>3</v>
      </c>
      <c r="E76">
        <v>1</v>
      </c>
      <c r="F76">
        <v>64</v>
      </c>
      <c r="G76">
        <v>1</v>
      </c>
      <c r="H76">
        <v>0</v>
      </c>
      <c r="I76">
        <v>0</v>
      </c>
      <c r="J76">
        <v>44</v>
      </c>
      <c r="K76">
        <v>1408</v>
      </c>
      <c r="L76" s="6">
        <v>0.89299475928775129</v>
      </c>
      <c r="M76" s="7">
        <v>75</v>
      </c>
      <c r="N76" s="6">
        <v>0.87299897749773381</v>
      </c>
      <c r="O76" s="6">
        <v>0.92728252333651306</v>
      </c>
      <c r="P76" s="6">
        <v>0.47075610214437646</v>
      </c>
      <c r="Q76" s="6">
        <v>1.5625E-2</v>
      </c>
      <c r="R76" s="6">
        <v>3.125E-2</v>
      </c>
      <c r="S76" s="6">
        <v>1.5384615384615385E-2</v>
      </c>
    </row>
    <row r="77" spans="1:19" x14ac:dyDescent="0.2">
      <c r="A77" s="5">
        <v>45748</v>
      </c>
      <c r="B77" t="s">
        <v>133</v>
      </c>
      <c r="C77">
        <v>65</v>
      </c>
      <c r="D77">
        <v>4</v>
      </c>
      <c r="E77">
        <v>1</v>
      </c>
      <c r="F77">
        <v>66</v>
      </c>
      <c r="G77">
        <v>2</v>
      </c>
      <c r="H77">
        <v>0</v>
      </c>
      <c r="I77">
        <v>0</v>
      </c>
      <c r="J77">
        <v>41</v>
      </c>
      <c r="K77">
        <v>1452</v>
      </c>
      <c r="L77" s="6">
        <v>0.85632700896277136</v>
      </c>
      <c r="M77" s="7">
        <v>63</v>
      </c>
      <c r="N77" s="6">
        <v>0.88567206102565876</v>
      </c>
      <c r="O77" s="6">
        <v>0.87444483995911604</v>
      </c>
      <c r="P77" s="6">
        <v>0.68389428477812464</v>
      </c>
      <c r="Q77" s="6">
        <v>1.5151515151515152E-2</v>
      </c>
      <c r="R77" s="6">
        <v>2.8236914600550965E-2</v>
      </c>
      <c r="S77" s="6">
        <v>2.9411764705882353E-2</v>
      </c>
    </row>
    <row r="78" spans="1:19" x14ac:dyDescent="0.2">
      <c r="A78" s="5">
        <v>45778</v>
      </c>
      <c r="B78" t="s">
        <v>133</v>
      </c>
      <c r="C78">
        <v>68</v>
      </c>
      <c r="D78">
        <v>2</v>
      </c>
      <c r="E78">
        <v>1</v>
      </c>
      <c r="F78">
        <v>68</v>
      </c>
      <c r="G78">
        <v>2</v>
      </c>
      <c r="H78">
        <v>0</v>
      </c>
      <c r="I78">
        <v>0</v>
      </c>
      <c r="J78">
        <v>38</v>
      </c>
      <c r="K78">
        <v>1496</v>
      </c>
      <c r="L78" s="6">
        <v>0.8135974745877812</v>
      </c>
      <c r="M78" s="7">
        <v>66</v>
      </c>
      <c r="N78" s="6">
        <v>0.93377026730559054</v>
      </c>
      <c r="O78" s="6">
        <v>0.85285643366117692</v>
      </c>
      <c r="P78" s="6">
        <v>0.31371602875336269</v>
      </c>
      <c r="Q78" s="6">
        <v>1.4705882352941176E-2</v>
      </c>
      <c r="R78" s="6">
        <v>2.5401069518716578E-2</v>
      </c>
      <c r="S78" s="6">
        <v>2.8571428571428571E-2</v>
      </c>
    </row>
    <row r="79" spans="1:19" x14ac:dyDescent="0.2">
      <c r="A79" s="5">
        <v>45809</v>
      </c>
      <c r="B79" t="s">
        <v>133</v>
      </c>
      <c r="C79">
        <v>69</v>
      </c>
      <c r="D79">
        <v>2</v>
      </c>
      <c r="E79">
        <v>1</v>
      </c>
      <c r="F79">
        <v>70</v>
      </c>
      <c r="G79">
        <v>0</v>
      </c>
      <c r="H79">
        <v>0</v>
      </c>
      <c r="I79">
        <v>0</v>
      </c>
      <c r="J79">
        <v>47</v>
      </c>
      <c r="K79">
        <v>1540</v>
      </c>
      <c r="L79" s="6">
        <v>0.70074266452645784</v>
      </c>
      <c r="M79" s="7">
        <v>64</v>
      </c>
      <c r="N79" s="6">
        <v>0.98826288411847585</v>
      </c>
      <c r="O79" s="6">
        <v>0.71350815321904204</v>
      </c>
      <c r="P79" s="6">
        <v>0.93585845428704029</v>
      </c>
      <c r="Q79" s="6">
        <v>1.4285714285714285E-2</v>
      </c>
      <c r="R79" s="6">
        <v>3.0519480519480519E-2</v>
      </c>
      <c r="S79" s="6">
        <v>0</v>
      </c>
    </row>
    <row r="80" spans="1:19" x14ac:dyDescent="0.2">
      <c r="A80" s="5">
        <v>45839</v>
      </c>
      <c r="B80" t="s">
        <v>133</v>
      </c>
      <c r="C80">
        <v>70</v>
      </c>
      <c r="D80">
        <v>3</v>
      </c>
      <c r="E80">
        <v>1</v>
      </c>
      <c r="F80">
        <v>71</v>
      </c>
      <c r="G80">
        <v>7</v>
      </c>
      <c r="H80">
        <v>0</v>
      </c>
      <c r="I80">
        <v>0</v>
      </c>
      <c r="J80">
        <v>32</v>
      </c>
      <c r="K80">
        <v>1562</v>
      </c>
      <c r="L80" s="6">
        <v>0.76340357216644983</v>
      </c>
      <c r="M80" s="7">
        <v>49</v>
      </c>
      <c r="N80" s="6">
        <v>0.90552097970772849</v>
      </c>
      <c r="O80" s="6">
        <v>0.82324599357638628</v>
      </c>
      <c r="P80" s="6">
        <v>0.73112857289127164</v>
      </c>
      <c r="Q80" s="6">
        <v>1.4084507042253521E-2</v>
      </c>
      <c r="R80" s="6">
        <v>2.0486555697823303E-2</v>
      </c>
      <c r="S80" s="6">
        <v>8.9743589743589744E-2</v>
      </c>
    </row>
    <row r="81" spans="1:19" x14ac:dyDescent="0.2">
      <c r="A81" s="5">
        <v>45870</v>
      </c>
      <c r="B81" t="s">
        <v>133</v>
      </c>
      <c r="C81">
        <v>72</v>
      </c>
      <c r="D81">
        <v>5</v>
      </c>
      <c r="E81">
        <v>1</v>
      </c>
      <c r="F81">
        <v>74</v>
      </c>
      <c r="G81">
        <v>4</v>
      </c>
      <c r="H81">
        <v>0</v>
      </c>
      <c r="I81">
        <v>0</v>
      </c>
      <c r="J81">
        <v>44</v>
      </c>
      <c r="K81">
        <v>1628</v>
      </c>
      <c r="L81" s="6">
        <v>0.76416309660300663</v>
      </c>
      <c r="M81" s="7">
        <v>62</v>
      </c>
      <c r="N81" s="6">
        <v>0.93419877462340795</v>
      </c>
      <c r="O81" s="6">
        <v>0.82761773350096934</v>
      </c>
      <c r="P81" s="6">
        <v>0.80313156251035234</v>
      </c>
      <c r="Q81" s="6">
        <v>1.3513513513513514E-2</v>
      </c>
      <c r="R81" s="6">
        <v>2.7027027027027029E-2</v>
      </c>
      <c r="S81" s="6">
        <v>5.128205128205128E-2</v>
      </c>
    </row>
    <row r="82" spans="1:19" x14ac:dyDescent="0.2">
      <c r="A82" s="5">
        <v>45901</v>
      </c>
      <c r="B82" t="s">
        <v>133</v>
      </c>
      <c r="C82">
        <v>76</v>
      </c>
      <c r="D82">
        <v>4</v>
      </c>
      <c r="E82">
        <v>1</v>
      </c>
      <c r="F82">
        <v>78</v>
      </c>
      <c r="G82">
        <v>1</v>
      </c>
      <c r="H82">
        <v>0</v>
      </c>
      <c r="I82">
        <v>0</v>
      </c>
      <c r="J82">
        <v>56</v>
      </c>
      <c r="K82">
        <v>1716</v>
      </c>
      <c r="L82" s="6">
        <v>0.73259968617509508</v>
      </c>
      <c r="M82" s="7">
        <v>62</v>
      </c>
      <c r="N82" s="6">
        <v>0.86866832809654237</v>
      </c>
      <c r="O82" s="6">
        <v>0.765553020538292</v>
      </c>
      <c r="P82" s="6">
        <v>0.53564945872118941</v>
      </c>
      <c r="Q82" s="6">
        <v>1.282051282051282E-2</v>
      </c>
      <c r="R82" s="6">
        <v>3.2634032634032632E-2</v>
      </c>
      <c r="S82" s="6">
        <v>1.2658227848101266E-2</v>
      </c>
    </row>
    <row r="83" spans="1:19" x14ac:dyDescent="0.2">
      <c r="A83" s="5">
        <v>45931</v>
      </c>
      <c r="B83" t="s">
        <v>133</v>
      </c>
      <c r="C83">
        <v>79</v>
      </c>
      <c r="D83">
        <v>0</v>
      </c>
      <c r="E83">
        <v>1</v>
      </c>
      <c r="F83">
        <v>78</v>
      </c>
      <c r="G83">
        <v>5</v>
      </c>
      <c r="H83">
        <v>0</v>
      </c>
      <c r="I83">
        <v>0</v>
      </c>
      <c r="J83">
        <v>27</v>
      </c>
      <c r="K83">
        <v>1716</v>
      </c>
      <c r="L83" s="6">
        <v>0.59097208897080011</v>
      </c>
      <c r="M83" s="7">
        <v>52</v>
      </c>
      <c r="N83" s="6">
        <v>0.83185883462208343</v>
      </c>
      <c r="O83" s="6">
        <v>0.68</v>
      </c>
      <c r="P83" s="6">
        <v>0.67391104612905983</v>
      </c>
      <c r="Q83" s="6">
        <v>1.282051282051282E-2</v>
      </c>
      <c r="R83" s="6">
        <v>1.5734265734265736E-2</v>
      </c>
      <c r="S83" s="6">
        <v>6.0240963855421686E-2</v>
      </c>
    </row>
    <row r="84" spans="1:19" x14ac:dyDescent="0.2">
      <c r="A84" s="5">
        <v>45962</v>
      </c>
      <c r="B84" t="s">
        <v>133</v>
      </c>
      <c r="C84">
        <v>78</v>
      </c>
      <c r="D84">
        <v>2</v>
      </c>
      <c r="E84">
        <v>1</v>
      </c>
      <c r="F84">
        <v>78</v>
      </c>
      <c r="G84">
        <v>4</v>
      </c>
      <c r="H84">
        <v>0</v>
      </c>
      <c r="I84">
        <v>0</v>
      </c>
      <c r="J84">
        <v>42</v>
      </c>
      <c r="K84">
        <v>1716</v>
      </c>
      <c r="L84" s="6">
        <v>0.80651783101652685</v>
      </c>
      <c r="M84" s="7">
        <v>70</v>
      </c>
      <c r="N84" s="6">
        <v>0.89900113431922724</v>
      </c>
      <c r="O84" s="6">
        <v>0.86609343992943166</v>
      </c>
      <c r="P84" s="6">
        <v>0.69776872742671225</v>
      </c>
      <c r="Q84" s="6">
        <v>1.282051282051282E-2</v>
      </c>
      <c r="R84" s="6">
        <v>2.4475524475524476E-2</v>
      </c>
      <c r="S84" s="6">
        <v>4.878048780487805E-2</v>
      </c>
    </row>
    <row r="85" spans="1:19" x14ac:dyDescent="0.2">
      <c r="A85" s="5">
        <v>45992</v>
      </c>
      <c r="B85" t="s">
        <v>133</v>
      </c>
      <c r="C85">
        <v>79</v>
      </c>
      <c r="D85">
        <v>2</v>
      </c>
      <c r="E85">
        <v>1</v>
      </c>
      <c r="F85">
        <v>80</v>
      </c>
      <c r="G85">
        <v>3</v>
      </c>
      <c r="H85">
        <v>0</v>
      </c>
      <c r="I85">
        <v>0</v>
      </c>
      <c r="J85">
        <v>58</v>
      </c>
      <c r="K85">
        <v>1760</v>
      </c>
      <c r="L85" s="6">
        <v>0.92006030866179589</v>
      </c>
      <c r="M85" s="7">
        <v>75</v>
      </c>
      <c r="N85" s="6">
        <v>0.90546402237256496</v>
      </c>
      <c r="O85" s="6">
        <v>0.90003025331331465</v>
      </c>
      <c r="P85" s="6">
        <v>0.72316332772042036</v>
      </c>
      <c r="Q85" s="6">
        <v>1.2500000000000001E-2</v>
      </c>
      <c r="R85" s="6">
        <v>3.2954545454545452E-2</v>
      </c>
      <c r="S85" s="6">
        <v>3.614457831325301E-2</v>
      </c>
    </row>
    <row r="86" spans="1:19" x14ac:dyDescent="0.2">
      <c r="A86" s="5">
        <v>45658</v>
      </c>
      <c r="B86" t="s">
        <v>61</v>
      </c>
      <c r="C86">
        <v>82</v>
      </c>
      <c r="D86">
        <v>4</v>
      </c>
      <c r="E86">
        <v>1</v>
      </c>
      <c r="F86">
        <v>84</v>
      </c>
      <c r="G86">
        <v>6</v>
      </c>
      <c r="H86">
        <v>0</v>
      </c>
      <c r="I86">
        <v>0</v>
      </c>
      <c r="J86">
        <v>56</v>
      </c>
      <c r="K86">
        <v>1848</v>
      </c>
      <c r="L86" s="6">
        <v>0.82727999297854826</v>
      </c>
      <c r="M86" s="7">
        <v>59</v>
      </c>
      <c r="N86" s="6">
        <v>0.82911775131826781</v>
      </c>
      <c r="O86" s="6">
        <v>0.80769614748874397</v>
      </c>
      <c r="P86" s="6">
        <v>0.63879819538113658</v>
      </c>
      <c r="Q86" s="6">
        <v>1.1904761904761904E-2</v>
      </c>
      <c r="R86" s="6">
        <v>3.0303030303030304E-2</v>
      </c>
      <c r="S86" s="6">
        <v>6.6666666666666666E-2</v>
      </c>
    </row>
    <row r="87" spans="1:19" x14ac:dyDescent="0.2">
      <c r="A87" s="5">
        <v>45689</v>
      </c>
      <c r="B87" t="s">
        <v>61</v>
      </c>
      <c r="C87">
        <v>85</v>
      </c>
      <c r="D87">
        <v>2</v>
      </c>
      <c r="E87">
        <v>1</v>
      </c>
      <c r="F87">
        <v>86</v>
      </c>
      <c r="G87">
        <v>1</v>
      </c>
      <c r="H87">
        <v>0</v>
      </c>
      <c r="I87">
        <v>0</v>
      </c>
      <c r="J87">
        <v>35</v>
      </c>
      <c r="K87">
        <v>1892</v>
      </c>
      <c r="L87" s="6">
        <v>0.73376925134439608</v>
      </c>
      <c r="M87" s="7">
        <v>67</v>
      </c>
      <c r="N87" s="6">
        <v>0.85428019836681823</v>
      </c>
      <c r="O87" s="6">
        <v>0.76621520052662817</v>
      </c>
      <c r="P87" s="6">
        <v>0.70223068027164981</v>
      </c>
      <c r="Q87" s="6">
        <v>1.1627906976744186E-2</v>
      </c>
      <c r="R87" s="6">
        <v>1.849894291754757E-2</v>
      </c>
      <c r="S87" s="6">
        <v>1.1494252873563218E-2</v>
      </c>
    </row>
    <row r="88" spans="1:19" x14ac:dyDescent="0.2">
      <c r="A88" s="5">
        <v>45717</v>
      </c>
      <c r="B88" t="s">
        <v>61</v>
      </c>
      <c r="C88">
        <v>86</v>
      </c>
      <c r="D88">
        <v>0</v>
      </c>
      <c r="E88">
        <v>2</v>
      </c>
      <c r="F88">
        <v>85</v>
      </c>
      <c r="G88">
        <v>7</v>
      </c>
      <c r="H88">
        <v>1</v>
      </c>
      <c r="I88">
        <v>0</v>
      </c>
      <c r="J88">
        <v>40</v>
      </c>
      <c r="K88">
        <v>1870</v>
      </c>
      <c r="L88" s="6">
        <v>0.83663358312897429</v>
      </c>
      <c r="M88" s="7">
        <v>76</v>
      </c>
      <c r="N88" s="6">
        <v>0.90674081359901693</v>
      </c>
      <c r="O88" s="6">
        <v>0.88246346147622912</v>
      </c>
      <c r="P88" s="6">
        <v>0.54254786336164651</v>
      </c>
      <c r="Q88" s="6">
        <v>2.3529411764705882E-2</v>
      </c>
      <c r="R88" s="6">
        <v>2.1390374331550801E-2</v>
      </c>
      <c r="S88" s="6">
        <v>7.6086956521739135E-2</v>
      </c>
    </row>
    <row r="89" spans="1:19" x14ac:dyDescent="0.2">
      <c r="A89" s="5">
        <v>45748</v>
      </c>
      <c r="B89" t="s">
        <v>61</v>
      </c>
      <c r="C89">
        <v>84</v>
      </c>
      <c r="D89">
        <v>0</v>
      </c>
      <c r="E89">
        <v>1</v>
      </c>
      <c r="F89">
        <v>84</v>
      </c>
      <c r="G89">
        <v>6</v>
      </c>
      <c r="H89">
        <v>0</v>
      </c>
      <c r="I89">
        <v>0</v>
      </c>
      <c r="J89">
        <v>37</v>
      </c>
      <c r="K89">
        <v>1848</v>
      </c>
      <c r="L89" s="6">
        <v>0.81142932879962859</v>
      </c>
      <c r="M89" s="7">
        <v>65</v>
      </c>
      <c r="N89" s="6">
        <v>0.90591886288252443</v>
      </c>
      <c r="O89" s="6">
        <v>0.87800454742105494</v>
      </c>
      <c r="P89" s="6">
        <v>0.71263764262446649</v>
      </c>
      <c r="Q89" s="6">
        <v>1.1904761904761904E-2</v>
      </c>
      <c r="R89" s="6">
        <v>2.002164502164502E-2</v>
      </c>
      <c r="S89" s="6">
        <v>6.6666666666666666E-2</v>
      </c>
    </row>
    <row r="90" spans="1:19" x14ac:dyDescent="0.2">
      <c r="A90" s="5">
        <v>45778</v>
      </c>
      <c r="B90" t="s">
        <v>61</v>
      </c>
      <c r="C90">
        <v>83</v>
      </c>
      <c r="D90">
        <v>0</v>
      </c>
      <c r="E90">
        <v>2</v>
      </c>
      <c r="F90">
        <v>82</v>
      </c>
      <c r="G90">
        <v>5</v>
      </c>
      <c r="H90">
        <v>1</v>
      </c>
      <c r="I90">
        <v>0</v>
      </c>
      <c r="J90">
        <v>52</v>
      </c>
      <c r="K90">
        <v>1804</v>
      </c>
      <c r="L90" s="6">
        <v>0.76087325478703283</v>
      </c>
      <c r="M90" s="7">
        <v>69</v>
      </c>
      <c r="N90" s="6">
        <v>0.85594950954216853</v>
      </c>
      <c r="O90" s="6">
        <v>0.82535862120090153</v>
      </c>
      <c r="P90" s="6">
        <v>0.47186705710108306</v>
      </c>
      <c r="Q90" s="6">
        <v>2.4390243902439025E-2</v>
      </c>
      <c r="R90" s="6">
        <v>2.8824833702882482E-2</v>
      </c>
      <c r="S90" s="6">
        <v>5.7471264367816091E-2</v>
      </c>
    </row>
    <row r="91" spans="1:19" x14ac:dyDescent="0.2">
      <c r="A91" s="5">
        <v>45809</v>
      </c>
      <c r="B91" t="s">
        <v>61</v>
      </c>
      <c r="C91">
        <v>81</v>
      </c>
      <c r="D91">
        <v>3</v>
      </c>
      <c r="E91">
        <v>1</v>
      </c>
      <c r="F91">
        <v>82</v>
      </c>
      <c r="G91">
        <v>7</v>
      </c>
      <c r="H91">
        <v>0</v>
      </c>
      <c r="I91">
        <v>0</v>
      </c>
      <c r="J91">
        <v>60</v>
      </c>
      <c r="K91">
        <v>1804</v>
      </c>
      <c r="L91" s="6">
        <v>0.86374928398276196</v>
      </c>
      <c r="M91" s="7">
        <v>65</v>
      </c>
      <c r="N91" s="6">
        <v>0.97353861408161657</v>
      </c>
      <c r="O91" s="6">
        <v>0.85579300050607088</v>
      </c>
      <c r="P91" s="6">
        <v>0.83287789298912385</v>
      </c>
      <c r="Q91" s="6">
        <v>1.2195121951219513E-2</v>
      </c>
      <c r="R91" s="6">
        <v>3.325942350332594E-2</v>
      </c>
      <c r="S91" s="6">
        <v>7.8651685393258425E-2</v>
      </c>
    </row>
    <row r="92" spans="1:19" x14ac:dyDescent="0.2">
      <c r="A92" s="5">
        <v>45839</v>
      </c>
      <c r="B92" t="s">
        <v>61</v>
      </c>
      <c r="C92">
        <v>83</v>
      </c>
      <c r="D92">
        <v>1</v>
      </c>
      <c r="E92">
        <v>1</v>
      </c>
      <c r="F92">
        <v>83</v>
      </c>
      <c r="G92">
        <v>4</v>
      </c>
      <c r="H92">
        <v>0</v>
      </c>
      <c r="I92">
        <v>0</v>
      </c>
      <c r="J92">
        <v>30</v>
      </c>
      <c r="K92">
        <v>1826</v>
      </c>
      <c r="L92" s="6">
        <v>0.72745267449606166</v>
      </c>
      <c r="M92" s="7">
        <v>70</v>
      </c>
      <c r="N92" s="6">
        <v>0.88040513617618632</v>
      </c>
      <c r="O92" s="6">
        <v>0.79849988406391237</v>
      </c>
      <c r="P92" s="6">
        <v>0.70487508702333468</v>
      </c>
      <c r="Q92" s="6">
        <v>1.2048192771084338E-2</v>
      </c>
      <c r="R92" s="6">
        <v>1.642935377875137E-2</v>
      </c>
      <c r="S92" s="6">
        <v>4.5977011494252873E-2</v>
      </c>
    </row>
    <row r="93" spans="1:19" x14ac:dyDescent="0.2">
      <c r="A93" s="5">
        <v>45870</v>
      </c>
      <c r="B93" t="s">
        <v>61</v>
      </c>
      <c r="C93">
        <v>83</v>
      </c>
      <c r="D93">
        <v>0</v>
      </c>
      <c r="E93">
        <v>1</v>
      </c>
      <c r="F93">
        <v>82</v>
      </c>
      <c r="G93">
        <v>1</v>
      </c>
      <c r="H93">
        <v>0</v>
      </c>
      <c r="I93">
        <v>0</v>
      </c>
      <c r="J93">
        <v>38</v>
      </c>
      <c r="K93">
        <v>1804</v>
      </c>
      <c r="L93" s="6">
        <v>0.8738635963186776</v>
      </c>
      <c r="M93" s="7">
        <v>61</v>
      </c>
      <c r="N93" s="6">
        <v>0.93575973095111675</v>
      </c>
      <c r="O93" s="6">
        <v>0.85103817972137341</v>
      </c>
      <c r="P93" s="6">
        <v>0.70773800043644663</v>
      </c>
      <c r="Q93" s="6">
        <v>1.2195121951219513E-2</v>
      </c>
      <c r="R93" s="6">
        <v>2.1064301552106431E-2</v>
      </c>
      <c r="S93" s="6">
        <v>1.2048192771084338E-2</v>
      </c>
    </row>
    <row r="94" spans="1:19" x14ac:dyDescent="0.2">
      <c r="A94" s="5">
        <v>45901</v>
      </c>
      <c r="B94" t="s">
        <v>61</v>
      </c>
      <c r="C94">
        <v>82</v>
      </c>
      <c r="D94">
        <v>1</v>
      </c>
      <c r="E94">
        <v>1</v>
      </c>
      <c r="F94">
        <v>82</v>
      </c>
      <c r="G94">
        <v>4</v>
      </c>
      <c r="H94">
        <v>0</v>
      </c>
      <c r="I94">
        <v>0</v>
      </c>
      <c r="J94">
        <v>50</v>
      </c>
      <c r="K94">
        <v>1804</v>
      </c>
      <c r="L94" s="6">
        <v>0.75095267524281717</v>
      </c>
      <c r="M94" s="7">
        <v>66</v>
      </c>
      <c r="N94" s="6">
        <v>0.92266064779222712</v>
      </c>
      <c r="O94" s="6">
        <v>0.77055071580068302</v>
      </c>
      <c r="P94" s="6">
        <v>0.81993455401021009</v>
      </c>
      <c r="Q94" s="6">
        <v>1.2195121951219513E-2</v>
      </c>
      <c r="R94" s="6">
        <v>2.771618625277162E-2</v>
      </c>
      <c r="S94" s="6">
        <v>4.6511627906976744E-2</v>
      </c>
    </row>
    <row r="95" spans="1:19" x14ac:dyDescent="0.2">
      <c r="A95" s="5">
        <v>45931</v>
      </c>
      <c r="B95" t="s">
        <v>61</v>
      </c>
      <c r="C95">
        <v>82</v>
      </c>
      <c r="D95">
        <v>3</v>
      </c>
      <c r="E95">
        <v>2</v>
      </c>
      <c r="F95">
        <v>82</v>
      </c>
      <c r="G95">
        <v>1</v>
      </c>
      <c r="H95">
        <v>1</v>
      </c>
      <c r="I95">
        <v>0</v>
      </c>
      <c r="J95">
        <v>58</v>
      </c>
      <c r="K95">
        <v>1804</v>
      </c>
      <c r="L95" s="6">
        <v>0.75874958265670212</v>
      </c>
      <c r="M95" s="7">
        <v>67</v>
      </c>
      <c r="N95" s="6">
        <v>0.9276671571124443</v>
      </c>
      <c r="O95" s="6">
        <v>0.76431360632891243</v>
      </c>
      <c r="P95" s="6">
        <v>0.438731913632668</v>
      </c>
      <c r="Q95" s="6">
        <v>2.4390243902439025E-2</v>
      </c>
      <c r="R95" s="6">
        <v>3.2150776053215077E-2</v>
      </c>
      <c r="S95" s="6">
        <v>1.2048192771084338E-2</v>
      </c>
    </row>
    <row r="96" spans="1:19" x14ac:dyDescent="0.2">
      <c r="A96" s="5">
        <v>45962</v>
      </c>
      <c r="B96" t="s">
        <v>61</v>
      </c>
      <c r="C96">
        <v>83</v>
      </c>
      <c r="D96">
        <v>1</v>
      </c>
      <c r="E96">
        <v>2</v>
      </c>
      <c r="F96">
        <v>82</v>
      </c>
      <c r="G96">
        <v>0</v>
      </c>
      <c r="H96">
        <v>1</v>
      </c>
      <c r="I96">
        <v>0</v>
      </c>
      <c r="J96">
        <v>53</v>
      </c>
      <c r="K96">
        <v>1804</v>
      </c>
      <c r="L96" s="6">
        <v>0.96831766550650689</v>
      </c>
      <c r="M96" s="7">
        <v>71</v>
      </c>
      <c r="N96" s="6">
        <v>0.91422489777207083</v>
      </c>
      <c r="O96" s="6">
        <v>1</v>
      </c>
      <c r="P96" s="6">
        <v>0.89833254529115525</v>
      </c>
      <c r="Q96" s="6">
        <v>2.4390243902439025E-2</v>
      </c>
      <c r="R96" s="6">
        <v>2.9379157427937917E-2</v>
      </c>
      <c r="S96" s="6">
        <v>0</v>
      </c>
    </row>
    <row r="97" spans="1:19" x14ac:dyDescent="0.2">
      <c r="A97" s="5">
        <v>45992</v>
      </c>
      <c r="B97" t="s">
        <v>61</v>
      </c>
      <c r="C97">
        <v>82</v>
      </c>
      <c r="D97">
        <v>0</v>
      </c>
      <c r="E97">
        <v>1</v>
      </c>
      <c r="F97">
        <v>82</v>
      </c>
      <c r="G97">
        <v>3</v>
      </c>
      <c r="H97">
        <v>0</v>
      </c>
      <c r="I97">
        <v>0</v>
      </c>
      <c r="J97">
        <v>31</v>
      </c>
      <c r="K97">
        <v>1804</v>
      </c>
      <c r="L97" s="6">
        <v>0.90614034010452016</v>
      </c>
      <c r="M97" s="7">
        <v>59</v>
      </c>
      <c r="N97" s="6">
        <v>0.90991862814803082</v>
      </c>
      <c r="O97" s="6">
        <v>0.94918865425748056</v>
      </c>
      <c r="P97" s="6">
        <v>0.51276766039072208</v>
      </c>
      <c r="Q97" s="6">
        <v>1.2195121951219513E-2</v>
      </c>
      <c r="R97" s="6">
        <v>1.7184035476718405E-2</v>
      </c>
      <c r="S97" s="6">
        <v>3.5294117647058823E-2</v>
      </c>
    </row>
    <row r="98" spans="1:19" x14ac:dyDescent="0.2">
      <c r="A98" s="5">
        <v>45658</v>
      </c>
      <c r="B98" t="s">
        <v>96</v>
      </c>
      <c r="C98">
        <v>116</v>
      </c>
      <c r="D98">
        <v>5</v>
      </c>
      <c r="E98">
        <v>2</v>
      </c>
      <c r="F98">
        <v>118</v>
      </c>
      <c r="G98">
        <v>6</v>
      </c>
      <c r="H98">
        <v>1</v>
      </c>
      <c r="I98">
        <v>0</v>
      </c>
      <c r="J98">
        <v>67</v>
      </c>
      <c r="K98">
        <v>2596</v>
      </c>
      <c r="L98" s="6">
        <v>0.83126875134784795</v>
      </c>
      <c r="M98" s="7">
        <v>60</v>
      </c>
      <c r="N98" s="6">
        <v>0.87082647670214841</v>
      </c>
      <c r="O98" s="6">
        <v>0.85439943796969853</v>
      </c>
      <c r="P98" s="6">
        <v>0.48910678543294128</v>
      </c>
      <c r="Q98" s="6">
        <v>1.6949152542372881E-2</v>
      </c>
      <c r="R98" s="6">
        <v>2.5808936825885979E-2</v>
      </c>
      <c r="S98" s="6">
        <v>4.8387096774193547E-2</v>
      </c>
    </row>
    <row r="99" spans="1:19" x14ac:dyDescent="0.2">
      <c r="A99" s="5">
        <v>45689</v>
      </c>
      <c r="B99" t="s">
        <v>96</v>
      </c>
      <c r="C99">
        <v>119</v>
      </c>
      <c r="D99">
        <v>3</v>
      </c>
      <c r="E99">
        <v>2</v>
      </c>
      <c r="F99">
        <v>120</v>
      </c>
      <c r="G99">
        <v>3</v>
      </c>
      <c r="H99">
        <v>1</v>
      </c>
      <c r="I99">
        <v>0</v>
      </c>
      <c r="J99">
        <v>76</v>
      </c>
      <c r="K99">
        <v>2640</v>
      </c>
      <c r="L99" s="6">
        <v>0.88261712969946504</v>
      </c>
      <c r="M99" s="7">
        <v>75</v>
      </c>
      <c r="N99" s="6">
        <v>0.92846869340457494</v>
      </c>
      <c r="O99" s="6">
        <v>0.95627100869281256</v>
      </c>
      <c r="P99" s="6">
        <v>0.745884357513806</v>
      </c>
      <c r="Q99" s="6">
        <v>1.6666666666666666E-2</v>
      </c>
      <c r="R99" s="6">
        <v>2.8787878787878789E-2</v>
      </c>
      <c r="S99" s="6">
        <v>2.4390243902439025E-2</v>
      </c>
    </row>
    <row r="100" spans="1:19" x14ac:dyDescent="0.2">
      <c r="A100" s="5">
        <v>45717</v>
      </c>
      <c r="B100" t="s">
        <v>96</v>
      </c>
      <c r="C100">
        <v>120</v>
      </c>
      <c r="D100">
        <v>2</v>
      </c>
      <c r="E100">
        <v>2</v>
      </c>
      <c r="F100">
        <v>120</v>
      </c>
      <c r="G100">
        <v>6</v>
      </c>
      <c r="H100">
        <v>1</v>
      </c>
      <c r="I100">
        <v>0</v>
      </c>
      <c r="J100">
        <v>62</v>
      </c>
      <c r="K100">
        <v>2640</v>
      </c>
      <c r="L100" s="6">
        <v>0.81040512855033775</v>
      </c>
      <c r="M100" s="7">
        <v>76</v>
      </c>
      <c r="N100" s="6">
        <v>0.92730009747811726</v>
      </c>
      <c r="O100" s="6">
        <v>0.78925515700171245</v>
      </c>
      <c r="P100" s="6">
        <v>0.6285392638893087</v>
      </c>
      <c r="Q100" s="6">
        <v>1.6666666666666666E-2</v>
      </c>
      <c r="R100" s="6">
        <v>2.3484848484848483E-2</v>
      </c>
      <c r="S100" s="6">
        <v>4.7619047619047616E-2</v>
      </c>
    </row>
    <row r="101" spans="1:19" x14ac:dyDescent="0.2">
      <c r="A101" s="5">
        <v>45748</v>
      </c>
      <c r="B101" t="s">
        <v>96</v>
      </c>
      <c r="C101">
        <v>120</v>
      </c>
      <c r="D101">
        <v>0</v>
      </c>
      <c r="E101">
        <v>2</v>
      </c>
      <c r="F101">
        <v>119</v>
      </c>
      <c r="G101">
        <v>2</v>
      </c>
      <c r="H101">
        <v>1</v>
      </c>
      <c r="I101">
        <v>0</v>
      </c>
      <c r="J101">
        <v>63</v>
      </c>
      <c r="K101">
        <v>2618</v>
      </c>
      <c r="L101" s="6">
        <v>0.794776761046181</v>
      </c>
      <c r="M101" s="7">
        <v>68</v>
      </c>
      <c r="N101" s="6">
        <v>0.92580161701350749</v>
      </c>
      <c r="O101" s="6">
        <v>0.81375786220944646</v>
      </c>
      <c r="P101" s="6">
        <v>0.46775306223344221</v>
      </c>
      <c r="Q101" s="6">
        <v>1.680672268907563E-2</v>
      </c>
      <c r="R101" s="6">
        <v>2.4064171122994651E-2</v>
      </c>
      <c r="S101" s="6">
        <v>1.6528925619834711E-2</v>
      </c>
    </row>
    <row r="102" spans="1:19" x14ac:dyDescent="0.2">
      <c r="A102" s="5">
        <v>45778</v>
      </c>
      <c r="B102" t="s">
        <v>96</v>
      </c>
      <c r="C102">
        <v>118</v>
      </c>
      <c r="D102">
        <v>0</v>
      </c>
      <c r="E102">
        <v>1</v>
      </c>
      <c r="F102">
        <v>118</v>
      </c>
      <c r="G102">
        <v>6</v>
      </c>
      <c r="H102">
        <v>0</v>
      </c>
      <c r="I102">
        <v>0</v>
      </c>
      <c r="J102">
        <v>54</v>
      </c>
      <c r="K102">
        <v>2596</v>
      </c>
      <c r="L102" s="6">
        <v>0.7751649169101984</v>
      </c>
      <c r="M102" s="7">
        <v>66</v>
      </c>
      <c r="N102" s="6">
        <v>0.92011139871681691</v>
      </c>
      <c r="O102" s="6">
        <v>0.80185145531431734</v>
      </c>
      <c r="P102" s="6">
        <v>0.75540973909299347</v>
      </c>
      <c r="Q102" s="6">
        <v>8.4745762711864406E-3</v>
      </c>
      <c r="R102" s="6">
        <v>2.0801232665639446E-2</v>
      </c>
      <c r="S102" s="6">
        <v>4.8387096774193547E-2</v>
      </c>
    </row>
    <row r="103" spans="1:19" x14ac:dyDescent="0.2">
      <c r="A103" s="5">
        <v>45809</v>
      </c>
      <c r="B103" t="s">
        <v>96</v>
      </c>
      <c r="C103">
        <v>117</v>
      </c>
      <c r="D103">
        <v>2</v>
      </c>
      <c r="E103">
        <v>1</v>
      </c>
      <c r="F103">
        <v>118</v>
      </c>
      <c r="G103">
        <v>3</v>
      </c>
      <c r="H103">
        <v>0</v>
      </c>
      <c r="I103">
        <v>0</v>
      </c>
      <c r="J103">
        <v>38</v>
      </c>
      <c r="K103">
        <v>2596</v>
      </c>
      <c r="L103" s="6">
        <v>0.89468229437849578</v>
      </c>
      <c r="M103" s="7">
        <v>68</v>
      </c>
      <c r="N103" s="6">
        <v>0.91166095332186137</v>
      </c>
      <c r="O103" s="6">
        <v>0.9714193206848456</v>
      </c>
      <c r="P103" s="6">
        <v>0.50908750050278151</v>
      </c>
      <c r="Q103" s="6">
        <v>8.4745762711864406E-3</v>
      </c>
      <c r="R103" s="6">
        <v>1.4637904468412942E-2</v>
      </c>
      <c r="S103" s="6">
        <v>2.4793388429752067E-2</v>
      </c>
    </row>
    <row r="104" spans="1:19" x14ac:dyDescent="0.2">
      <c r="A104" s="5">
        <v>45839</v>
      </c>
      <c r="B104" t="s">
        <v>96</v>
      </c>
      <c r="C104">
        <v>118</v>
      </c>
      <c r="D104">
        <v>0</v>
      </c>
      <c r="E104">
        <v>2</v>
      </c>
      <c r="F104">
        <v>117</v>
      </c>
      <c r="G104">
        <v>5</v>
      </c>
      <c r="H104">
        <v>1</v>
      </c>
      <c r="I104">
        <v>0</v>
      </c>
      <c r="J104">
        <v>83</v>
      </c>
      <c r="K104">
        <v>2574</v>
      </c>
      <c r="L104" s="6">
        <v>0.78419575267950936</v>
      </c>
      <c r="M104" s="7">
        <v>67</v>
      </c>
      <c r="N104" s="6">
        <v>0.88263146962498407</v>
      </c>
      <c r="O104" s="6">
        <v>0.81677319306878737</v>
      </c>
      <c r="P104" s="6">
        <v>0.69184957580225692</v>
      </c>
      <c r="Q104" s="6">
        <v>1.7094017094017096E-2</v>
      </c>
      <c r="R104" s="6">
        <v>3.2245532245532248E-2</v>
      </c>
      <c r="S104" s="6">
        <v>4.0983606557377046E-2</v>
      </c>
    </row>
    <row r="105" spans="1:19" x14ac:dyDescent="0.2">
      <c r="A105" s="5">
        <v>45870</v>
      </c>
      <c r="B105" t="s">
        <v>96</v>
      </c>
      <c r="C105">
        <v>116</v>
      </c>
      <c r="D105">
        <v>3</v>
      </c>
      <c r="E105">
        <v>2</v>
      </c>
      <c r="F105">
        <v>116</v>
      </c>
      <c r="G105">
        <v>11</v>
      </c>
      <c r="H105">
        <v>1</v>
      </c>
      <c r="I105">
        <v>0</v>
      </c>
      <c r="J105">
        <v>53</v>
      </c>
      <c r="K105">
        <v>2552</v>
      </c>
      <c r="L105" s="6">
        <v>0.75835003908848841</v>
      </c>
      <c r="M105" s="7">
        <v>65</v>
      </c>
      <c r="N105" s="6">
        <v>0.99078659037222105</v>
      </c>
      <c r="O105" s="6">
        <v>0.74681827562291137</v>
      </c>
      <c r="P105" s="6">
        <v>0.73474358100357229</v>
      </c>
      <c r="Q105" s="6">
        <v>1.7241379310344827E-2</v>
      </c>
      <c r="R105" s="6">
        <v>2.0768025078369907E-2</v>
      </c>
      <c r="S105" s="6">
        <v>8.6614173228346455E-2</v>
      </c>
    </row>
    <row r="106" spans="1:19" x14ac:dyDescent="0.2">
      <c r="A106" s="5">
        <v>45901</v>
      </c>
      <c r="B106" t="s">
        <v>96</v>
      </c>
      <c r="C106">
        <v>117</v>
      </c>
      <c r="D106">
        <v>3</v>
      </c>
      <c r="E106">
        <v>2</v>
      </c>
      <c r="F106">
        <v>118</v>
      </c>
      <c r="G106">
        <v>8</v>
      </c>
      <c r="H106">
        <v>1</v>
      </c>
      <c r="I106">
        <v>0</v>
      </c>
      <c r="J106">
        <v>87</v>
      </c>
      <c r="K106">
        <v>2596</v>
      </c>
      <c r="L106" s="6">
        <v>0.99</v>
      </c>
      <c r="M106" s="7">
        <v>59</v>
      </c>
      <c r="N106" s="6">
        <v>0.90578750194544888</v>
      </c>
      <c r="O106" s="6">
        <v>0.94951399871170616</v>
      </c>
      <c r="P106" s="6">
        <v>0.46171014641457203</v>
      </c>
      <c r="Q106" s="6">
        <v>1.6949152542372881E-2</v>
      </c>
      <c r="R106" s="6">
        <v>3.3513097072419104E-2</v>
      </c>
      <c r="S106" s="6">
        <v>6.3492063492063489E-2</v>
      </c>
    </row>
    <row r="107" spans="1:19" x14ac:dyDescent="0.2">
      <c r="A107" s="5">
        <v>45931</v>
      </c>
      <c r="B107" t="s">
        <v>96</v>
      </c>
      <c r="C107">
        <v>118</v>
      </c>
      <c r="D107">
        <v>1</v>
      </c>
      <c r="E107">
        <v>1</v>
      </c>
      <c r="F107">
        <v>118</v>
      </c>
      <c r="G107">
        <v>5</v>
      </c>
      <c r="H107">
        <v>0</v>
      </c>
      <c r="I107">
        <v>0</v>
      </c>
      <c r="J107">
        <v>36</v>
      </c>
      <c r="K107">
        <v>2596</v>
      </c>
      <c r="L107" s="6">
        <v>0.65098166884762465</v>
      </c>
      <c r="M107" s="7">
        <v>68</v>
      </c>
      <c r="N107" s="6">
        <v>0.93333698853658442</v>
      </c>
      <c r="O107" s="6">
        <v>0.68</v>
      </c>
      <c r="P107" s="6">
        <v>0.68555945733892576</v>
      </c>
      <c r="Q107" s="6">
        <v>8.4745762711864406E-3</v>
      </c>
      <c r="R107" s="6">
        <v>1.386748844375963E-2</v>
      </c>
      <c r="S107" s="6">
        <v>4.065040650406504E-2</v>
      </c>
    </row>
    <row r="108" spans="1:19" x14ac:dyDescent="0.2">
      <c r="A108" s="5">
        <v>45962</v>
      </c>
      <c r="B108" t="s">
        <v>96</v>
      </c>
      <c r="C108">
        <v>118</v>
      </c>
      <c r="D108">
        <v>1</v>
      </c>
      <c r="E108">
        <v>1</v>
      </c>
      <c r="F108">
        <v>118</v>
      </c>
      <c r="G108">
        <v>3</v>
      </c>
      <c r="H108">
        <v>0</v>
      </c>
      <c r="I108">
        <v>0</v>
      </c>
      <c r="J108">
        <v>43</v>
      </c>
      <c r="K108">
        <v>2596</v>
      </c>
      <c r="L108" s="6">
        <v>0.86528419918824362</v>
      </c>
      <c r="M108" s="7">
        <v>58</v>
      </c>
      <c r="N108" s="6">
        <v>0.89306696325170476</v>
      </c>
      <c r="O108" s="6">
        <v>0.89646863559860979</v>
      </c>
      <c r="P108" s="6">
        <v>0.67402903682585025</v>
      </c>
      <c r="Q108" s="6">
        <v>8.4745762711864406E-3</v>
      </c>
      <c r="R108" s="6">
        <v>1.6563944530046226E-2</v>
      </c>
      <c r="S108" s="6">
        <v>2.4793388429752067E-2</v>
      </c>
    </row>
    <row r="109" spans="1:19" x14ac:dyDescent="0.2">
      <c r="A109" s="5">
        <v>45992</v>
      </c>
      <c r="B109" t="s">
        <v>96</v>
      </c>
      <c r="C109">
        <v>118</v>
      </c>
      <c r="D109">
        <v>0</v>
      </c>
      <c r="E109">
        <v>2</v>
      </c>
      <c r="F109">
        <v>117</v>
      </c>
      <c r="G109">
        <v>12</v>
      </c>
      <c r="H109">
        <v>1</v>
      </c>
      <c r="I109">
        <v>0</v>
      </c>
      <c r="J109">
        <v>70</v>
      </c>
      <c r="K109">
        <v>2574</v>
      </c>
      <c r="L109" s="6">
        <v>0.85772017183497928</v>
      </c>
      <c r="M109" s="7">
        <v>62</v>
      </c>
      <c r="N109" s="6">
        <v>0.88972456028819391</v>
      </c>
      <c r="O109" s="6">
        <v>0.91153360149973539</v>
      </c>
      <c r="P109" s="6">
        <v>0.61936057637728248</v>
      </c>
      <c r="Q109" s="6">
        <v>1.7094017094017096E-2</v>
      </c>
      <c r="R109" s="6">
        <v>2.7195027195027196E-2</v>
      </c>
      <c r="S109" s="6">
        <v>9.3023255813953487E-2</v>
      </c>
    </row>
    <row r="110" spans="1:19" x14ac:dyDescent="0.2">
      <c r="A110" s="5">
        <v>45658</v>
      </c>
      <c r="B110" t="s">
        <v>143</v>
      </c>
      <c r="C110">
        <v>80</v>
      </c>
      <c r="D110">
        <v>3</v>
      </c>
      <c r="E110">
        <v>2</v>
      </c>
      <c r="F110">
        <v>80</v>
      </c>
      <c r="G110">
        <v>5</v>
      </c>
      <c r="H110">
        <v>1</v>
      </c>
      <c r="I110">
        <v>0</v>
      </c>
      <c r="J110">
        <v>54</v>
      </c>
      <c r="K110">
        <v>1760</v>
      </c>
      <c r="L110" s="6">
        <v>0.72301123523304978</v>
      </c>
      <c r="M110" s="7">
        <v>50</v>
      </c>
      <c r="N110" s="6">
        <v>1</v>
      </c>
      <c r="O110" s="6">
        <v>0.68318351003695688</v>
      </c>
      <c r="P110" s="6">
        <v>0.66831936894237454</v>
      </c>
      <c r="Q110" s="6">
        <v>2.5000000000000001E-2</v>
      </c>
      <c r="R110" s="6">
        <v>3.0681818181818182E-2</v>
      </c>
      <c r="S110" s="6">
        <v>5.8823529411764705E-2</v>
      </c>
    </row>
    <row r="111" spans="1:19" x14ac:dyDescent="0.2">
      <c r="A111" s="5">
        <v>45689</v>
      </c>
      <c r="B111" t="s">
        <v>143</v>
      </c>
      <c r="C111">
        <v>81</v>
      </c>
      <c r="D111">
        <v>0</v>
      </c>
      <c r="E111">
        <v>2</v>
      </c>
      <c r="F111">
        <v>80</v>
      </c>
      <c r="G111">
        <v>7</v>
      </c>
      <c r="H111">
        <v>1</v>
      </c>
      <c r="I111">
        <v>0</v>
      </c>
      <c r="J111">
        <v>37</v>
      </c>
      <c r="K111">
        <v>1760</v>
      </c>
      <c r="L111" s="6">
        <v>0.70839263618584736</v>
      </c>
      <c r="M111" s="7">
        <v>73</v>
      </c>
      <c r="N111" s="6">
        <v>0.844424095068115</v>
      </c>
      <c r="O111" s="6">
        <v>0.78112931537440966</v>
      </c>
      <c r="P111" s="6">
        <v>0.5963292418320969</v>
      </c>
      <c r="Q111" s="6">
        <v>2.5000000000000001E-2</v>
      </c>
      <c r="R111" s="6">
        <v>2.1022727272727273E-2</v>
      </c>
      <c r="S111" s="6">
        <v>8.0459770114942528E-2</v>
      </c>
    </row>
    <row r="112" spans="1:19" x14ac:dyDescent="0.2">
      <c r="A112" s="5">
        <v>45717</v>
      </c>
      <c r="B112" t="s">
        <v>143</v>
      </c>
      <c r="C112">
        <v>79</v>
      </c>
      <c r="D112">
        <v>1</v>
      </c>
      <c r="E112">
        <v>2</v>
      </c>
      <c r="F112">
        <v>78</v>
      </c>
      <c r="G112">
        <v>8</v>
      </c>
      <c r="H112">
        <v>1</v>
      </c>
      <c r="I112">
        <v>0</v>
      </c>
      <c r="J112">
        <v>30</v>
      </c>
      <c r="K112">
        <v>1716</v>
      </c>
      <c r="L112" s="6">
        <v>0.76473395783995779</v>
      </c>
      <c r="M112" s="7">
        <v>64</v>
      </c>
      <c r="N112" s="6">
        <v>0.9458240183142792</v>
      </c>
      <c r="O112" s="6">
        <v>0.74768082360751875</v>
      </c>
      <c r="P112" s="6">
        <v>0.51657815719886613</v>
      </c>
      <c r="Q112" s="6">
        <v>2.564102564102564E-2</v>
      </c>
      <c r="R112" s="6">
        <v>1.7482517482517484E-2</v>
      </c>
      <c r="S112" s="6">
        <v>9.3023255813953487E-2</v>
      </c>
    </row>
    <row r="113" spans="1:19" x14ac:dyDescent="0.2">
      <c r="A113" s="5">
        <v>45748</v>
      </c>
      <c r="B113" t="s">
        <v>143</v>
      </c>
      <c r="C113">
        <v>78</v>
      </c>
      <c r="D113">
        <v>1</v>
      </c>
      <c r="E113">
        <v>2</v>
      </c>
      <c r="F113">
        <v>78</v>
      </c>
      <c r="G113">
        <v>5</v>
      </c>
      <c r="H113">
        <v>1</v>
      </c>
      <c r="I113">
        <v>0</v>
      </c>
      <c r="J113">
        <v>26</v>
      </c>
      <c r="K113">
        <v>1716</v>
      </c>
      <c r="L113" s="6">
        <v>0.6661643999604</v>
      </c>
      <c r="M113" s="7">
        <v>57</v>
      </c>
      <c r="N113" s="6">
        <v>0.90005678292224545</v>
      </c>
      <c r="O113" s="6">
        <v>0.68</v>
      </c>
      <c r="P113" s="6">
        <v>0.84744133865287452</v>
      </c>
      <c r="Q113" s="6">
        <v>2.564102564102564E-2</v>
      </c>
      <c r="R113" s="6">
        <v>1.5151515151515152E-2</v>
      </c>
      <c r="S113" s="6">
        <v>6.0240963855421686E-2</v>
      </c>
    </row>
    <row r="114" spans="1:19" x14ac:dyDescent="0.2">
      <c r="A114" s="5">
        <v>45778</v>
      </c>
      <c r="B114" t="s">
        <v>143</v>
      </c>
      <c r="C114">
        <v>77</v>
      </c>
      <c r="D114">
        <v>2</v>
      </c>
      <c r="E114">
        <v>2</v>
      </c>
      <c r="F114">
        <v>77</v>
      </c>
      <c r="G114">
        <v>6</v>
      </c>
      <c r="H114">
        <v>1</v>
      </c>
      <c r="I114">
        <v>0</v>
      </c>
      <c r="J114">
        <v>33</v>
      </c>
      <c r="K114">
        <v>1694</v>
      </c>
      <c r="L114" s="6">
        <v>0.74897778532899961</v>
      </c>
      <c r="M114" s="7">
        <v>58</v>
      </c>
      <c r="N114" s="6">
        <v>0.96421611076313607</v>
      </c>
      <c r="O114" s="6">
        <v>0.73602935397534353</v>
      </c>
      <c r="P114" s="6">
        <v>0.56324413368723281</v>
      </c>
      <c r="Q114" s="6">
        <v>2.5974025974025976E-2</v>
      </c>
      <c r="R114" s="6">
        <v>1.948051948051948E-2</v>
      </c>
      <c r="S114" s="6">
        <v>7.2289156626506021E-2</v>
      </c>
    </row>
    <row r="115" spans="1:19" x14ac:dyDescent="0.2">
      <c r="A115" s="5">
        <v>45809</v>
      </c>
      <c r="B115" t="s">
        <v>143</v>
      </c>
      <c r="C115">
        <v>77</v>
      </c>
      <c r="D115">
        <v>0</v>
      </c>
      <c r="E115">
        <v>1</v>
      </c>
      <c r="F115">
        <v>76</v>
      </c>
      <c r="G115">
        <v>0</v>
      </c>
      <c r="H115">
        <v>0</v>
      </c>
      <c r="I115">
        <v>0</v>
      </c>
      <c r="J115">
        <v>55</v>
      </c>
      <c r="K115">
        <v>1672</v>
      </c>
      <c r="L115" s="6">
        <v>0.92182315572174878</v>
      </c>
      <c r="M115" s="7">
        <v>71</v>
      </c>
      <c r="N115" s="6">
        <v>0.88134305321092976</v>
      </c>
      <c r="O115" s="6">
        <v>0.87657058117330122</v>
      </c>
      <c r="P115" s="6">
        <v>0.84053594749465144</v>
      </c>
      <c r="Q115" s="6">
        <v>1.3157894736842105E-2</v>
      </c>
      <c r="R115" s="6">
        <v>3.2894736842105261E-2</v>
      </c>
      <c r="S115" s="6">
        <v>0</v>
      </c>
    </row>
    <row r="116" spans="1:19" x14ac:dyDescent="0.2">
      <c r="A116" s="5">
        <v>45839</v>
      </c>
      <c r="B116" t="s">
        <v>143</v>
      </c>
      <c r="C116">
        <v>76</v>
      </c>
      <c r="D116">
        <v>2</v>
      </c>
      <c r="E116">
        <v>1</v>
      </c>
      <c r="F116">
        <v>76</v>
      </c>
      <c r="G116">
        <v>3</v>
      </c>
      <c r="H116">
        <v>0</v>
      </c>
      <c r="I116">
        <v>0</v>
      </c>
      <c r="J116">
        <v>35</v>
      </c>
      <c r="K116">
        <v>1672</v>
      </c>
      <c r="L116" s="6">
        <v>0.85533300402121692</v>
      </c>
      <c r="M116" s="7">
        <v>65</v>
      </c>
      <c r="N116" s="6">
        <v>0.88550833810503005</v>
      </c>
      <c r="O116" s="6">
        <v>0.87178082614043617</v>
      </c>
      <c r="P116" s="6">
        <v>0.73894980798872301</v>
      </c>
      <c r="Q116" s="6">
        <v>1.3157894736842105E-2</v>
      </c>
      <c r="R116" s="6">
        <v>2.0933014354066987E-2</v>
      </c>
      <c r="S116" s="6">
        <v>3.7974683544303799E-2</v>
      </c>
    </row>
    <row r="117" spans="1:19" x14ac:dyDescent="0.2">
      <c r="A117" s="5">
        <v>45870</v>
      </c>
      <c r="B117" t="s">
        <v>143</v>
      </c>
      <c r="C117">
        <v>77</v>
      </c>
      <c r="D117">
        <v>1</v>
      </c>
      <c r="E117">
        <v>2</v>
      </c>
      <c r="F117">
        <v>76</v>
      </c>
      <c r="G117">
        <v>2</v>
      </c>
      <c r="H117">
        <v>1</v>
      </c>
      <c r="I117">
        <v>0</v>
      </c>
      <c r="J117">
        <v>51</v>
      </c>
      <c r="K117">
        <v>1672</v>
      </c>
      <c r="L117" s="6">
        <v>0.74123592398674998</v>
      </c>
      <c r="M117" s="7">
        <v>55</v>
      </c>
      <c r="N117" s="6">
        <v>0.94551218845343366</v>
      </c>
      <c r="O117" s="6">
        <v>0.75162140715905246</v>
      </c>
      <c r="P117" s="6">
        <v>0.5248103555857121</v>
      </c>
      <c r="Q117" s="6">
        <v>2.6315789473684209E-2</v>
      </c>
      <c r="R117" s="6">
        <v>3.0502392344497607E-2</v>
      </c>
      <c r="S117" s="6">
        <v>2.564102564102564E-2</v>
      </c>
    </row>
    <row r="118" spans="1:19" x14ac:dyDescent="0.2">
      <c r="A118" s="5">
        <v>45901</v>
      </c>
      <c r="B118" t="s">
        <v>143</v>
      </c>
      <c r="C118">
        <v>76</v>
      </c>
      <c r="D118">
        <v>3</v>
      </c>
      <c r="E118">
        <v>1</v>
      </c>
      <c r="F118">
        <v>77</v>
      </c>
      <c r="G118">
        <v>5</v>
      </c>
      <c r="H118">
        <v>0</v>
      </c>
      <c r="I118">
        <v>0</v>
      </c>
      <c r="J118">
        <v>47</v>
      </c>
      <c r="K118">
        <v>1694</v>
      </c>
      <c r="L118" s="6">
        <v>0.87896652760127492</v>
      </c>
      <c r="M118" s="7">
        <v>63</v>
      </c>
      <c r="N118" s="6">
        <v>0.93910628790498996</v>
      </c>
      <c r="O118" s="6">
        <v>0.91377302470752964</v>
      </c>
      <c r="P118" s="6">
        <v>0.6326010817129013</v>
      </c>
      <c r="Q118" s="6">
        <v>1.2987012987012988E-2</v>
      </c>
      <c r="R118" s="6">
        <v>2.7744982290436836E-2</v>
      </c>
      <c r="S118" s="6">
        <v>6.097560975609756E-2</v>
      </c>
    </row>
    <row r="119" spans="1:19" x14ac:dyDescent="0.2">
      <c r="A119" s="5">
        <v>45931</v>
      </c>
      <c r="B119" t="s">
        <v>143</v>
      </c>
      <c r="C119">
        <v>78</v>
      </c>
      <c r="D119">
        <v>0</v>
      </c>
      <c r="E119">
        <v>2</v>
      </c>
      <c r="F119">
        <v>77</v>
      </c>
      <c r="G119">
        <v>6</v>
      </c>
      <c r="H119">
        <v>1</v>
      </c>
      <c r="I119">
        <v>0</v>
      </c>
      <c r="J119">
        <v>27</v>
      </c>
      <c r="K119">
        <v>1694</v>
      </c>
      <c r="L119" s="6">
        <v>0.80195805913920304</v>
      </c>
      <c r="M119" s="7">
        <v>59</v>
      </c>
      <c r="N119" s="6">
        <v>0.91092735762868704</v>
      </c>
      <c r="O119" s="6">
        <v>0.83488987761465372</v>
      </c>
      <c r="P119" s="6">
        <v>0.63358264608443005</v>
      </c>
      <c r="Q119" s="6">
        <v>2.5974025974025976E-2</v>
      </c>
      <c r="R119" s="6">
        <v>1.5938606847697757E-2</v>
      </c>
      <c r="S119" s="6">
        <v>7.2289156626506021E-2</v>
      </c>
    </row>
    <row r="120" spans="1:19" x14ac:dyDescent="0.2">
      <c r="A120" s="5">
        <v>45962</v>
      </c>
      <c r="B120" t="s">
        <v>143</v>
      </c>
      <c r="C120">
        <v>76</v>
      </c>
      <c r="D120">
        <v>2</v>
      </c>
      <c r="E120">
        <v>2</v>
      </c>
      <c r="F120">
        <v>76</v>
      </c>
      <c r="G120">
        <v>6</v>
      </c>
      <c r="H120">
        <v>1</v>
      </c>
      <c r="I120">
        <v>0</v>
      </c>
      <c r="J120">
        <v>46</v>
      </c>
      <c r="K120">
        <v>1672</v>
      </c>
      <c r="L120" s="6">
        <v>0.70515026430147698</v>
      </c>
      <c r="M120" s="7">
        <v>57</v>
      </c>
      <c r="N120" s="6">
        <v>0.9311543802704807</v>
      </c>
      <c r="O120" s="6">
        <v>0.76467375803255921</v>
      </c>
      <c r="P120" s="6">
        <v>0.42808331393653953</v>
      </c>
      <c r="Q120" s="6">
        <v>2.6315789473684209E-2</v>
      </c>
      <c r="R120" s="6">
        <v>2.751196172248804E-2</v>
      </c>
      <c r="S120" s="6">
        <v>7.3170731707317069E-2</v>
      </c>
    </row>
    <row r="121" spans="1:19" x14ac:dyDescent="0.2">
      <c r="A121" s="5">
        <v>45992</v>
      </c>
      <c r="B121" t="s">
        <v>143</v>
      </c>
      <c r="C121">
        <v>76</v>
      </c>
      <c r="D121">
        <v>3</v>
      </c>
      <c r="E121">
        <v>2</v>
      </c>
      <c r="F121">
        <v>76</v>
      </c>
      <c r="G121">
        <v>0</v>
      </c>
      <c r="H121">
        <v>1</v>
      </c>
      <c r="I121">
        <v>0</v>
      </c>
      <c r="J121">
        <v>33</v>
      </c>
      <c r="K121">
        <v>1672</v>
      </c>
      <c r="L121" s="6">
        <v>0.74388365197086259</v>
      </c>
      <c r="M121" s="7">
        <v>45</v>
      </c>
      <c r="N121" s="6">
        <v>0.91689761785994883</v>
      </c>
      <c r="O121" s="6">
        <v>0.73781682600804377</v>
      </c>
      <c r="P121" s="6">
        <v>0.44159193363673865</v>
      </c>
      <c r="Q121" s="6">
        <v>2.6315789473684209E-2</v>
      </c>
      <c r="R121" s="6">
        <v>1.9736842105263157E-2</v>
      </c>
      <c r="S121" s="6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1"/>
  <sheetViews>
    <sheetView zoomScaleNormal="60" zoomScaleSheetLayoutView="100" workbookViewId="0"/>
  </sheetViews>
  <sheetFormatPr defaultRowHeight="15" x14ac:dyDescent="0.2"/>
  <cols>
    <col min="1" max="26" width="16.0078125" customWidth="1"/>
  </cols>
  <sheetData>
    <row r="1" spans="1:26" ht="41.25" x14ac:dyDescent="0.2">
      <c r="A1" s="1" t="s">
        <v>1759</v>
      </c>
      <c r="B1" s="1" t="s">
        <v>35</v>
      </c>
      <c r="C1" s="1" t="s">
        <v>1776</v>
      </c>
      <c r="D1" s="1" t="s">
        <v>1777</v>
      </c>
      <c r="E1" s="1" t="s">
        <v>1778</v>
      </c>
      <c r="F1" s="1" t="s">
        <v>1779</v>
      </c>
      <c r="G1" s="1" t="s">
        <v>1780</v>
      </c>
      <c r="H1" s="1" t="s">
        <v>1781</v>
      </c>
      <c r="I1" s="1" t="s">
        <v>1782</v>
      </c>
      <c r="J1" s="1" t="s">
        <v>1783</v>
      </c>
      <c r="K1" s="1" t="s">
        <v>1784</v>
      </c>
      <c r="L1" s="1" t="s">
        <v>1785</v>
      </c>
      <c r="M1" s="1" t="s">
        <v>1786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5">
        <v>45658</v>
      </c>
      <c r="B2" t="s">
        <v>89</v>
      </c>
      <c r="C2" s="4">
        <v>1557180</v>
      </c>
      <c r="D2" s="4">
        <v>902490</v>
      </c>
      <c r="E2" s="4">
        <v>2286671</v>
      </c>
      <c r="F2" s="4">
        <v>157315</v>
      </c>
      <c r="G2" s="4">
        <v>58137</v>
      </c>
      <c r="H2" s="4">
        <v>58410</v>
      </c>
      <c r="I2" s="4">
        <v>132372</v>
      </c>
      <c r="J2">
        <v>86.7</v>
      </c>
      <c r="K2" s="4">
        <v>9380.6024096385536</v>
      </c>
      <c r="L2" s="6">
        <v>1.4684692842189084</v>
      </c>
      <c r="M2" s="8">
        <v>0.28630703761057014</v>
      </c>
    </row>
    <row r="3" spans="1:26" x14ac:dyDescent="0.2">
      <c r="A3" s="5">
        <v>45689</v>
      </c>
      <c r="B3" t="s">
        <v>89</v>
      </c>
      <c r="C3" s="4">
        <v>1734891</v>
      </c>
      <c r="D3" s="4">
        <v>996191</v>
      </c>
      <c r="E3" s="4">
        <v>2314221</v>
      </c>
      <c r="F3" s="4">
        <v>122802</v>
      </c>
      <c r="G3" s="4">
        <v>62219</v>
      </c>
      <c r="H3" s="4">
        <v>25890</v>
      </c>
      <c r="I3" s="4">
        <v>124884</v>
      </c>
      <c r="J3">
        <v>81.7</v>
      </c>
      <c r="K3" s="4">
        <v>10326.732142857143</v>
      </c>
      <c r="L3" s="6">
        <v>1.33392875978952</v>
      </c>
      <c r="M3" s="8">
        <v>0.31920028381040533</v>
      </c>
    </row>
    <row r="4" spans="1:26" x14ac:dyDescent="0.2">
      <c r="A4" s="5">
        <v>45717</v>
      </c>
      <c r="B4" t="s">
        <v>89</v>
      </c>
      <c r="C4" s="4">
        <v>1622235</v>
      </c>
      <c r="D4" s="4">
        <v>806202</v>
      </c>
      <c r="E4" s="4">
        <v>2314221</v>
      </c>
      <c r="F4" s="4">
        <v>129559</v>
      </c>
      <c r="G4" s="4">
        <v>116982</v>
      </c>
      <c r="H4" s="4">
        <v>14998</v>
      </c>
      <c r="I4" s="4">
        <v>137770</v>
      </c>
      <c r="J4">
        <v>80.3</v>
      </c>
      <c r="K4" s="4">
        <v>9656.1607142857138</v>
      </c>
      <c r="L4" s="6">
        <v>1.4265633524119501</v>
      </c>
      <c r="M4" s="8">
        <v>0.3526167120599113</v>
      </c>
    </row>
    <row r="5" spans="1:26" x14ac:dyDescent="0.2">
      <c r="A5" s="5">
        <v>45748</v>
      </c>
      <c r="B5" t="s">
        <v>89</v>
      </c>
      <c r="C5" s="4">
        <v>1710177</v>
      </c>
      <c r="D5" s="4">
        <v>951701</v>
      </c>
      <c r="E5" s="4">
        <v>2327996</v>
      </c>
      <c r="F5" s="4">
        <v>127091</v>
      </c>
      <c r="G5" s="4">
        <v>67595</v>
      </c>
      <c r="H5" s="4">
        <v>42510</v>
      </c>
      <c r="I5" s="4">
        <v>115222</v>
      </c>
      <c r="J5">
        <v>82.9</v>
      </c>
      <c r="K5" s="4">
        <v>10119.390532544379</v>
      </c>
      <c r="L5" s="6">
        <v>1.3612602672121072</v>
      </c>
      <c r="M5" s="8">
        <v>0.3258064017292126</v>
      </c>
    </row>
    <row r="6" spans="1:26" x14ac:dyDescent="0.2">
      <c r="A6" s="5">
        <v>45778</v>
      </c>
      <c r="B6" t="s">
        <v>89</v>
      </c>
      <c r="C6" s="4">
        <v>1715575</v>
      </c>
      <c r="D6" s="4">
        <v>733712</v>
      </c>
      <c r="E6" s="4">
        <v>2341771</v>
      </c>
      <c r="F6" s="4">
        <v>132803</v>
      </c>
      <c r="G6" s="4">
        <v>54347</v>
      </c>
      <c r="H6" s="4">
        <v>24992</v>
      </c>
      <c r="I6" s="4">
        <v>121108</v>
      </c>
      <c r="J6">
        <v>79.900000000000006</v>
      </c>
      <c r="K6" s="4">
        <v>10091.617647058823</v>
      </c>
      <c r="L6" s="6">
        <v>1.3650064847062937</v>
      </c>
      <c r="M6" s="8">
        <v>0.41928224407937409</v>
      </c>
    </row>
    <row r="7" spans="1:26" x14ac:dyDescent="0.2">
      <c r="A7" s="5">
        <v>45809</v>
      </c>
      <c r="B7" t="s">
        <v>89</v>
      </c>
      <c r="C7" s="4">
        <v>1645344</v>
      </c>
      <c r="D7" s="4">
        <v>801503</v>
      </c>
      <c r="E7" s="4">
        <v>2327996</v>
      </c>
      <c r="F7" s="4">
        <v>123622</v>
      </c>
      <c r="G7" s="4">
        <v>142055</v>
      </c>
      <c r="H7" s="4">
        <v>21437</v>
      </c>
      <c r="I7" s="4">
        <v>128172</v>
      </c>
      <c r="J7">
        <v>85.7</v>
      </c>
      <c r="K7" s="4">
        <v>9735.7633136094682</v>
      </c>
      <c r="L7" s="6">
        <v>1.4148992551101776</v>
      </c>
      <c r="M7" s="8">
        <v>0.36247527916714634</v>
      </c>
    </row>
    <row r="8" spans="1:26" x14ac:dyDescent="0.2">
      <c r="A8" s="5">
        <v>45839</v>
      </c>
      <c r="B8" t="s">
        <v>89</v>
      </c>
      <c r="C8" s="4">
        <v>1699882</v>
      </c>
      <c r="D8" s="4">
        <v>817616</v>
      </c>
      <c r="E8" s="4">
        <v>2314221</v>
      </c>
      <c r="F8" s="4">
        <v>129892</v>
      </c>
      <c r="G8" s="4">
        <v>117569</v>
      </c>
      <c r="H8" s="4">
        <v>6205</v>
      </c>
      <c r="I8" s="4">
        <v>175177</v>
      </c>
      <c r="J8">
        <v>87.3</v>
      </c>
      <c r="K8" s="4">
        <v>10118.345238095239</v>
      </c>
      <c r="L8" s="6">
        <v>1.3614009678318848</v>
      </c>
      <c r="M8" s="8">
        <v>0.38123670989071484</v>
      </c>
    </row>
    <row r="9" spans="1:26" x14ac:dyDescent="0.2">
      <c r="A9" s="5">
        <v>45870</v>
      </c>
      <c r="B9" t="s">
        <v>89</v>
      </c>
      <c r="C9" s="4">
        <v>1499941</v>
      </c>
      <c r="D9" s="4">
        <v>805292</v>
      </c>
      <c r="E9" s="4">
        <v>2286671</v>
      </c>
      <c r="F9" s="4">
        <v>123352</v>
      </c>
      <c r="G9" s="4">
        <v>127419</v>
      </c>
      <c r="H9" s="4">
        <v>15609</v>
      </c>
      <c r="I9" s="4">
        <v>89140</v>
      </c>
      <c r="J9">
        <v>90</v>
      </c>
      <c r="K9" s="4">
        <v>9035.7891566265062</v>
      </c>
      <c r="L9" s="6">
        <v>1.5245072972870266</v>
      </c>
      <c r="M9" s="8">
        <v>0.30378178583626592</v>
      </c>
    </row>
    <row r="10" spans="1:26" x14ac:dyDescent="0.2">
      <c r="A10" s="5">
        <v>45901</v>
      </c>
      <c r="B10" t="s">
        <v>89</v>
      </c>
      <c r="C10" s="4">
        <v>1625663</v>
      </c>
      <c r="D10" s="4">
        <v>826356</v>
      </c>
      <c r="E10" s="4">
        <v>2259120</v>
      </c>
      <c r="F10" s="4">
        <v>118793</v>
      </c>
      <c r="G10" s="4">
        <v>109028</v>
      </c>
      <c r="H10" s="4">
        <v>0</v>
      </c>
      <c r="I10" s="4">
        <v>66932</v>
      </c>
      <c r="J10">
        <v>90.4</v>
      </c>
      <c r="K10" s="4">
        <v>9912.5792682926822</v>
      </c>
      <c r="L10" s="6">
        <v>1.3896607107377112</v>
      </c>
      <c r="M10" s="8">
        <v>0.35381343177874569</v>
      </c>
    </row>
    <row r="11" spans="1:26" x14ac:dyDescent="0.2">
      <c r="A11" s="5">
        <v>45931</v>
      </c>
      <c r="B11" t="s">
        <v>89</v>
      </c>
      <c r="C11" s="4">
        <v>1402640</v>
      </c>
      <c r="D11" s="4">
        <v>759480</v>
      </c>
      <c r="E11" s="4">
        <v>2217795</v>
      </c>
      <c r="F11" s="4">
        <v>144750</v>
      </c>
      <c r="G11" s="4">
        <v>106782</v>
      </c>
      <c r="H11" s="4">
        <v>4872</v>
      </c>
      <c r="I11" s="4">
        <v>83516</v>
      </c>
      <c r="J11">
        <v>83.4</v>
      </c>
      <c r="K11" s="4">
        <v>8712.0496894409935</v>
      </c>
      <c r="L11" s="6">
        <v>1.581157674100268</v>
      </c>
      <c r="M11" s="8">
        <v>0.28999975200593381</v>
      </c>
    </row>
    <row r="12" spans="1:26" x14ac:dyDescent="0.2">
      <c r="A12" s="5">
        <v>45962</v>
      </c>
      <c r="B12" t="s">
        <v>89</v>
      </c>
      <c r="C12" s="4">
        <v>1538569</v>
      </c>
      <c r="D12" s="4">
        <v>846643</v>
      </c>
      <c r="E12" s="4">
        <v>2204020</v>
      </c>
      <c r="F12" s="4">
        <v>120869</v>
      </c>
      <c r="G12" s="4">
        <v>71496</v>
      </c>
      <c r="H12" s="4">
        <v>22527</v>
      </c>
      <c r="I12" s="4">
        <v>55980</v>
      </c>
      <c r="J12">
        <v>87</v>
      </c>
      <c r="K12" s="4">
        <v>9616.0562499999996</v>
      </c>
      <c r="L12" s="6">
        <v>1.4325129389712128</v>
      </c>
      <c r="M12" s="8">
        <v>0.31393816753024018</v>
      </c>
    </row>
    <row r="13" spans="1:26" x14ac:dyDescent="0.2">
      <c r="A13" s="5">
        <v>45992</v>
      </c>
      <c r="B13" t="s">
        <v>89</v>
      </c>
      <c r="C13" s="4">
        <v>1502620</v>
      </c>
      <c r="D13" s="4">
        <v>604608</v>
      </c>
      <c r="E13" s="4">
        <v>2204020</v>
      </c>
      <c r="F13" s="4">
        <v>119816</v>
      </c>
      <c r="G13" s="4">
        <v>117386</v>
      </c>
      <c r="H13" s="4">
        <v>11712</v>
      </c>
      <c r="I13" s="4">
        <v>170942</v>
      </c>
      <c r="J13">
        <v>82.9</v>
      </c>
      <c r="K13" s="4">
        <v>9391.375</v>
      </c>
      <c r="L13" s="6">
        <v>1.4667846827541229</v>
      </c>
      <c r="M13" s="8">
        <v>0.40744276367728061</v>
      </c>
    </row>
    <row r="14" spans="1:26" x14ac:dyDescent="0.2">
      <c r="A14" s="5">
        <v>45658</v>
      </c>
      <c r="B14" t="s">
        <v>102</v>
      </c>
      <c r="C14" s="4">
        <v>1119109</v>
      </c>
      <c r="D14" s="4">
        <v>620260</v>
      </c>
      <c r="E14" s="4">
        <v>1863707</v>
      </c>
      <c r="F14" s="4">
        <v>110180</v>
      </c>
      <c r="G14" s="4">
        <v>47889</v>
      </c>
      <c r="H14" s="4">
        <v>15482</v>
      </c>
      <c r="I14" s="4">
        <v>76084</v>
      </c>
      <c r="J14">
        <v>88.1</v>
      </c>
      <c r="K14" s="4">
        <v>8881.8174603174612</v>
      </c>
      <c r="L14" s="6">
        <v>1.6653489517106912</v>
      </c>
      <c r="M14" s="8">
        <v>0.26766492801711855</v>
      </c>
    </row>
    <row r="15" spans="1:26" x14ac:dyDescent="0.2">
      <c r="A15" s="5">
        <v>45689</v>
      </c>
      <c r="B15" t="s">
        <v>102</v>
      </c>
      <c r="C15" s="4">
        <v>1141706</v>
      </c>
      <c r="D15" s="4">
        <v>605789</v>
      </c>
      <c r="E15" s="4">
        <v>1878498</v>
      </c>
      <c r="F15" s="4">
        <v>135050</v>
      </c>
      <c r="G15" s="4">
        <v>79983</v>
      </c>
      <c r="H15" s="4">
        <v>21101</v>
      </c>
      <c r="I15" s="4">
        <v>53603</v>
      </c>
      <c r="J15">
        <v>86.8</v>
      </c>
      <c r="K15" s="4">
        <v>8989.8110236220473</v>
      </c>
      <c r="L15" s="6">
        <v>1.6453430217586664</v>
      </c>
      <c r="M15" s="8">
        <v>0.28529016267251817</v>
      </c>
    </row>
    <row r="16" spans="1:26" x14ac:dyDescent="0.2">
      <c r="A16" s="5">
        <v>45717</v>
      </c>
      <c r="B16" t="s">
        <v>102</v>
      </c>
      <c r="C16" s="4">
        <v>1147656</v>
      </c>
      <c r="D16" s="4">
        <v>558921</v>
      </c>
      <c r="E16" s="4">
        <v>1878498</v>
      </c>
      <c r="F16" s="4">
        <v>126851</v>
      </c>
      <c r="G16" s="4">
        <v>77502</v>
      </c>
      <c r="H16" s="4">
        <v>6793</v>
      </c>
      <c r="I16" s="4">
        <v>118087</v>
      </c>
      <c r="J16">
        <v>81.599999999999994</v>
      </c>
      <c r="K16" s="4">
        <v>9036.6614173228354</v>
      </c>
      <c r="L16" s="6">
        <v>1.6368127731654782</v>
      </c>
      <c r="M16" s="8">
        <v>0.31340730732744992</v>
      </c>
    </row>
    <row r="17" spans="1:13" x14ac:dyDescent="0.2">
      <c r="A17" s="5">
        <v>45748</v>
      </c>
      <c r="B17" t="s">
        <v>102</v>
      </c>
      <c r="C17" s="4">
        <v>1082826</v>
      </c>
      <c r="D17" s="4">
        <v>465498</v>
      </c>
      <c r="E17" s="4">
        <v>1863707</v>
      </c>
      <c r="F17" s="4">
        <v>143698</v>
      </c>
      <c r="G17" s="4">
        <v>57535</v>
      </c>
      <c r="H17" s="4">
        <v>20541</v>
      </c>
      <c r="I17" s="4">
        <v>63385</v>
      </c>
      <c r="J17">
        <v>83.1</v>
      </c>
      <c r="K17" s="4">
        <v>8593.8571428571431</v>
      </c>
      <c r="L17" s="6">
        <v>1.7211509513070429</v>
      </c>
      <c r="M17" s="8">
        <v>0.33123661605606458</v>
      </c>
    </row>
    <row r="18" spans="1:13" x14ac:dyDescent="0.2">
      <c r="A18" s="5">
        <v>45778</v>
      </c>
      <c r="B18" t="s">
        <v>102</v>
      </c>
      <c r="C18" s="4">
        <v>1064296</v>
      </c>
      <c r="D18" s="4">
        <v>614853</v>
      </c>
      <c r="E18" s="4">
        <v>1863707</v>
      </c>
      <c r="F18" s="4">
        <v>91606</v>
      </c>
      <c r="G18" s="4">
        <v>43010</v>
      </c>
      <c r="H18" s="4">
        <v>10244</v>
      </c>
      <c r="I18" s="4">
        <v>141317</v>
      </c>
      <c r="J18">
        <v>76</v>
      </c>
      <c r="K18" s="4">
        <v>8446.7936507936502</v>
      </c>
      <c r="L18" s="6">
        <v>1.7511171704112389</v>
      </c>
      <c r="M18" s="8">
        <v>0.24115539620766568</v>
      </c>
    </row>
    <row r="19" spans="1:13" x14ac:dyDescent="0.2">
      <c r="A19" s="5">
        <v>45809</v>
      </c>
      <c r="B19" t="s">
        <v>102</v>
      </c>
      <c r="C19" s="4">
        <v>1113752</v>
      </c>
      <c r="D19" s="4">
        <v>561069</v>
      </c>
      <c r="E19" s="4">
        <v>1863707</v>
      </c>
      <c r="F19" s="4">
        <v>110239</v>
      </c>
      <c r="G19" s="4">
        <v>125200</v>
      </c>
      <c r="H19" s="4">
        <v>11250</v>
      </c>
      <c r="I19" s="4">
        <v>108557</v>
      </c>
      <c r="J19">
        <v>92.5</v>
      </c>
      <c r="K19" s="4">
        <v>8839.3015873015866</v>
      </c>
      <c r="L19" s="6">
        <v>1.6733590601857504</v>
      </c>
      <c r="M19" s="8">
        <v>0.29655036977378957</v>
      </c>
    </row>
    <row r="20" spans="1:13" x14ac:dyDescent="0.2">
      <c r="A20" s="5">
        <v>45839</v>
      </c>
      <c r="B20" t="s">
        <v>102</v>
      </c>
      <c r="C20" s="4">
        <v>1045982</v>
      </c>
      <c r="D20" s="4">
        <v>525319</v>
      </c>
      <c r="E20" s="4">
        <v>1834124</v>
      </c>
      <c r="F20" s="4">
        <v>129975</v>
      </c>
      <c r="G20" s="4">
        <v>112598</v>
      </c>
      <c r="H20" s="4">
        <v>13548</v>
      </c>
      <c r="I20" s="4">
        <v>154050</v>
      </c>
      <c r="J20">
        <v>85.6</v>
      </c>
      <c r="K20" s="4">
        <v>8435.3387096774186</v>
      </c>
      <c r="L20" s="6">
        <v>1.7534948020138015</v>
      </c>
      <c r="M20" s="8">
        <v>0.28387557220776782</v>
      </c>
    </row>
    <row r="21" spans="1:13" x14ac:dyDescent="0.2">
      <c r="A21" s="5">
        <v>45870</v>
      </c>
      <c r="B21" t="s">
        <v>102</v>
      </c>
      <c r="C21" s="4">
        <v>1089526</v>
      </c>
      <c r="D21" s="4">
        <v>427324</v>
      </c>
      <c r="E21" s="4">
        <v>1848916</v>
      </c>
      <c r="F21" s="4">
        <v>122428</v>
      </c>
      <c r="G21" s="4">
        <v>125304</v>
      </c>
      <c r="H21" s="4">
        <v>22079</v>
      </c>
      <c r="I21" s="4">
        <v>96590</v>
      </c>
      <c r="J21">
        <v>93.4</v>
      </c>
      <c r="K21" s="4">
        <v>8716.2080000000005</v>
      </c>
      <c r="L21" s="6">
        <v>1.6969911686366366</v>
      </c>
      <c r="M21" s="8">
        <v>0.35815688760333081</v>
      </c>
    </row>
    <row r="22" spans="1:13" x14ac:dyDescent="0.2">
      <c r="A22" s="5">
        <v>45901</v>
      </c>
      <c r="B22" t="s">
        <v>102</v>
      </c>
      <c r="C22" s="4">
        <v>1117023</v>
      </c>
      <c r="D22" s="4">
        <v>516774</v>
      </c>
      <c r="E22" s="4">
        <v>1878498</v>
      </c>
      <c r="F22" s="4">
        <v>96674</v>
      </c>
      <c r="G22" s="4">
        <v>66696</v>
      </c>
      <c r="H22" s="4">
        <v>29826</v>
      </c>
      <c r="I22" s="4">
        <v>74599</v>
      </c>
      <c r="J22">
        <v>83.7</v>
      </c>
      <c r="K22" s="4">
        <v>8795.4566929133853</v>
      </c>
      <c r="L22" s="6">
        <v>1.6817003768051328</v>
      </c>
      <c r="M22" s="8">
        <v>0.31953667238400041</v>
      </c>
    </row>
    <row r="23" spans="1:13" x14ac:dyDescent="0.2">
      <c r="A23" s="5">
        <v>45931</v>
      </c>
      <c r="B23" t="s">
        <v>102</v>
      </c>
      <c r="C23" s="4">
        <v>1035345</v>
      </c>
      <c r="D23" s="4">
        <v>460690</v>
      </c>
      <c r="E23" s="4">
        <v>1893290</v>
      </c>
      <c r="F23" s="4">
        <v>98756</v>
      </c>
      <c r="G23" s="4">
        <v>51074</v>
      </c>
      <c r="H23" s="4">
        <v>16074</v>
      </c>
      <c r="I23" s="4">
        <v>77150</v>
      </c>
      <c r="J23">
        <v>85.8</v>
      </c>
      <c r="K23" s="4">
        <v>8088.6328125</v>
      </c>
      <c r="L23" s="6">
        <v>1.8286561484336139</v>
      </c>
      <c r="M23" s="8">
        <v>0.30352191159304703</v>
      </c>
    </row>
    <row r="24" spans="1:13" x14ac:dyDescent="0.2">
      <c r="A24" s="5">
        <v>45962</v>
      </c>
      <c r="B24" t="s">
        <v>102</v>
      </c>
      <c r="C24" s="4">
        <v>1177432</v>
      </c>
      <c r="D24" s="4">
        <v>492599</v>
      </c>
      <c r="E24" s="4">
        <v>1952455</v>
      </c>
      <c r="F24" s="4">
        <v>94457</v>
      </c>
      <c r="G24" s="4">
        <v>110471</v>
      </c>
      <c r="H24" s="4">
        <v>57801</v>
      </c>
      <c r="I24" s="4">
        <v>72470</v>
      </c>
      <c r="J24">
        <v>83.2</v>
      </c>
      <c r="K24" s="4">
        <v>8919.939393939394</v>
      </c>
      <c r="L24" s="6">
        <v>1.6582316431012576</v>
      </c>
      <c r="M24" s="8">
        <v>0.3507548189330868</v>
      </c>
    </row>
    <row r="25" spans="1:13" x14ac:dyDescent="0.2">
      <c r="A25" s="5">
        <v>45992</v>
      </c>
      <c r="B25" t="s">
        <v>102</v>
      </c>
      <c r="C25" s="4">
        <v>1185889</v>
      </c>
      <c r="D25" s="4">
        <v>591151</v>
      </c>
      <c r="E25" s="4">
        <v>1996829</v>
      </c>
      <c r="F25" s="4">
        <v>106799</v>
      </c>
      <c r="G25" s="4">
        <v>67888</v>
      </c>
      <c r="H25" s="4">
        <v>34739</v>
      </c>
      <c r="I25" s="4">
        <v>80738</v>
      </c>
      <c r="J25">
        <v>88.9</v>
      </c>
      <c r="K25" s="4">
        <v>8784.3629629629631</v>
      </c>
      <c r="L25" s="6">
        <v>1.6838245400707823</v>
      </c>
      <c r="M25" s="8">
        <v>0.29784122726582996</v>
      </c>
    </row>
    <row r="26" spans="1:13" x14ac:dyDescent="0.2">
      <c r="A26" s="5">
        <v>45658</v>
      </c>
      <c r="B26" t="s">
        <v>74</v>
      </c>
      <c r="C26" s="4">
        <v>480472</v>
      </c>
      <c r="D26" s="4">
        <v>200594</v>
      </c>
      <c r="E26" s="4">
        <v>1995015</v>
      </c>
      <c r="F26" s="4">
        <v>120477</v>
      </c>
      <c r="G26" s="4">
        <v>84166</v>
      </c>
      <c r="H26" s="4">
        <v>0</v>
      </c>
      <c r="I26" s="4">
        <v>49970</v>
      </c>
      <c r="J26">
        <v>89</v>
      </c>
      <c r="K26" s="4">
        <v>3585.6119402985073</v>
      </c>
      <c r="L26" s="6">
        <v>4.1521982550492016</v>
      </c>
      <c r="M26" s="8">
        <v>0.14028866950875057</v>
      </c>
    </row>
    <row r="27" spans="1:13" x14ac:dyDescent="0.2">
      <c r="A27" s="5">
        <v>45689</v>
      </c>
      <c r="B27" t="s">
        <v>74</v>
      </c>
      <c r="C27" s="4">
        <v>514504</v>
      </c>
      <c r="D27" s="4">
        <v>201698</v>
      </c>
      <c r="E27" s="4">
        <v>1995015</v>
      </c>
      <c r="F27" s="4">
        <v>111564</v>
      </c>
      <c r="G27" s="4">
        <v>70368</v>
      </c>
      <c r="H27" s="4">
        <v>19492</v>
      </c>
      <c r="I27" s="4">
        <v>84480</v>
      </c>
      <c r="J27">
        <v>88.2</v>
      </c>
      <c r="K27" s="4">
        <v>3839.5820895522388</v>
      </c>
      <c r="L27" s="6">
        <v>3.8775500287655684</v>
      </c>
      <c r="M27" s="8">
        <v>0.15679380856785538</v>
      </c>
    </row>
    <row r="28" spans="1:13" x14ac:dyDescent="0.2">
      <c r="A28" s="5">
        <v>45717</v>
      </c>
      <c r="B28" t="s">
        <v>74</v>
      </c>
      <c r="C28" s="4">
        <v>532421</v>
      </c>
      <c r="D28" s="4">
        <v>223842</v>
      </c>
      <c r="E28" s="4">
        <v>2024791</v>
      </c>
      <c r="F28" s="4">
        <v>110235</v>
      </c>
      <c r="G28" s="4">
        <v>107062</v>
      </c>
      <c r="H28" s="4">
        <v>20330</v>
      </c>
      <c r="I28" s="4">
        <v>50182</v>
      </c>
      <c r="J28">
        <v>85.6</v>
      </c>
      <c r="K28" s="4">
        <v>3914.8602941176468</v>
      </c>
      <c r="L28" s="6">
        <v>3.8029886123950782</v>
      </c>
      <c r="M28" s="8">
        <v>0.15240042058661857</v>
      </c>
    </row>
    <row r="29" spans="1:13" x14ac:dyDescent="0.2">
      <c r="A29" s="5">
        <v>45748</v>
      </c>
      <c r="B29" t="s">
        <v>74</v>
      </c>
      <c r="C29" s="4">
        <v>537678</v>
      </c>
      <c r="D29" s="4">
        <v>249738</v>
      </c>
      <c r="E29" s="4">
        <v>2024791</v>
      </c>
      <c r="F29" s="4">
        <v>103421</v>
      </c>
      <c r="G29" s="4">
        <v>131559</v>
      </c>
      <c r="H29" s="4">
        <v>6268</v>
      </c>
      <c r="I29" s="4">
        <v>67373</v>
      </c>
      <c r="J29">
        <v>87.5</v>
      </c>
      <c r="K29" s="4">
        <v>3953.5147058823532</v>
      </c>
      <c r="L29" s="6">
        <v>3.7658059284553209</v>
      </c>
      <c r="M29" s="8">
        <v>0.1422072697873509</v>
      </c>
    </row>
    <row r="30" spans="1:13" x14ac:dyDescent="0.2">
      <c r="A30" s="5">
        <v>45778</v>
      </c>
      <c r="B30" t="s">
        <v>74</v>
      </c>
      <c r="C30" s="4">
        <v>489780</v>
      </c>
      <c r="D30" s="4">
        <v>218933</v>
      </c>
      <c r="E30" s="4">
        <v>2024791</v>
      </c>
      <c r="F30" s="4">
        <v>117201</v>
      </c>
      <c r="G30" s="4">
        <v>52713</v>
      </c>
      <c r="H30" s="4">
        <v>34847</v>
      </c>
      <c r="I30" s="4">
        <v>129308</v>
      </c>
      <c r="J30">
        <v>84.7</v>
      </c>
      <c r="K30" s="4">
        <v>3601.3235294117649</v>
      </c>
      <c r="L30" s="6">
        <v>4.1340826493527709</v>
      </c>
      <c r="M30" s="8">
        <v>0.13376541084981117</v>
      </c>
    </row>
    <row r="31" spans="1:13" x14ac:dyDescent="0.2">
      <c r="A31" s="5">
        <v>45809</v>
      </c>
      <c r="B31" t="s">
        <v>74</v>
      </c>
      <c r="C31" s="4">
        <v>518911</v>
      </c>
      <c r="D31" s="4">
        <v>202132</v>
      </c>
      <c r="E31" s="4">
        <v>2069456</v>
      </c>
      <c r="F31" s="4">
        <v>109440</v>
      </c>
      <c r="G31" s="4">
        <v>53032</v>
      </c>
      <c r="H31" s="4">
        <v>43978</v>
      </c>
      <c r="I31" s="4">
        <v>52226</v>
      </c>
      <c r="J31">
        <v>82.3</v>
      </c>
      <c r="K31" s="4">
        <v>3733.1726618705038</v>
      </c>
      <c r="L31" s="6">
        <v>3.9880750263532669</v>
      </c>
      <c r="M31" s="8">
        <v>0.15307356136105335</v>
      </c>
    </row>
    <row r="32" spans="1:13" x14ac:dyDescent="0.2">
      <c r="A32" s="5">
        <v>45839</v>
      </c>
      <c r="B32" t="s">
        <v>74</v>
      </c>
      <c r="C32" s="4">
        <v>489178</v>
      </c>
      <c r="D32" s="4">
        <v>277509</v>
      </c>
      <c r="E32" s="4">
        <v>2099232</v>
      </c>
      <c r="F32" s="4">
        <v>99524</v>
      </c>
      <c r="G32" s="4">
        <v>54059</v>
      </c>
      <c r="H32" s="4">
        <v>15158</v>
      </c>
      <c r="I32" s="4">
        <v>55185</v>
      </c>
      <c r="J32">
        <v>86.7</v>
      </c>
      <c r="K32" s="4">
        <v>3469.3475177304963</v>
      </c>
      <c r="L32" s="6">
        <v>4.2913458904529636</v>
      </c>
      <c r="M32" s="8">
        <v>0.1008316374750385</v>
      </c>
    </row>
    <row r="33" spans="1:13" x14ac:dyDescent="0.2">
      <c r="A33" s="5">
        <v>45870</v>
      </c>
      <c r="B33" t="s">
        <v>74</v>
      </c>
      <c r="C33" s="4">
        <v>462852</v>
      </c>
      <c r="D33" s="4">
        <v>256012</v>
      </c>
      <c r="E33" s="4">
        <v>2114120</v>
      </c>
      <c r="F33" s="4">
        <v>141862</v>
      </c>
      <c r="G33" s="4">
        <v>104712</v>
      </c>
      <c r="H33" s="4">
        <v>19151</v>
      </c>
      <c r="I33" s="4">
        <v>70115</v>
      </c>
      <c r="J33">
        <v>80.099999999999994</v>
      </c>
      <c r="K33" s="4">
        <v>3259.5211267605632</v>
      </c>
      <c r="L33" s="6">
        <v>4.5675939609205534</v>
      </c>
      <c r="M33" s="8">
        <v>9.783739806633493E-2</v>
      </c>
    </row>
    <row r="34" spans="1:13" x14ac:dyDescent="0.2">
      <c r="A34" s="5">
        <v>45901</v>
      </c>
      <c r="B34" t="s">
        <v>74</v>
      </c>
      <c r="C34" s="4">
        <v>452789</v>
      </c>
      <c r="D34" s="4">
        <v>243854</v>
      </c>
      <c r="E34" s="4">
        <v>2143897</v>
      </c>
      <c r="F34" s="4">
        <v>159836</v>
      </c>
      <c r="G34" s="4">
        <v>76242</v>
      </c>
      <c r="H34" s="4">
        <v>18513</v>
      </c>
      <c r="I34" s="4">
        <v>95015</v>
      </c>
      <c r="J34">
        <v>78.2</v>
      </c>
      <c r="K34" s="4">
        <v>3144.3680555555557</v>
      </c>
      <c r="L34" s="6">
        <v>4.7348698842065513</v>
      </c>
      <c r="M34" s="8">
        <v>9.7455707993434393E-2</v>
      </c>
    </row>
    <row r="35" spans="1:13" x14ac:dyDescent="0.2">
      <c r="A35" s="5">
        <v>45931</v>
      </c>
      <c r="B35" t="s">
        <v>74</v>
      </c>
      <c r="C35" s="4">
        <v>492250</v>
      </c>
      <c r="D35" s="4">
        <v>284164</v>
      </c>
      <c r="E35" s="4">
        <v>2173673</v>
      </c>
      <c r="F35" s="4">
        <v>112093</v>
      </c>
      <c r="G35" s="4">
        <v>51945</v>
      </c>
      <c r="H35" s="4">
        <v>27631</v>
      </c>
      <c r="I35" s="4">
        <v>51906</v>
      </c>
      <c r="J35">
        <v>82.7</v>
      </c>
      <c r="K35" s="4">
        <v>3371.5753424657532</v>
      </c>
      <c r="L35" s="6">
        <v>4.4157907567293044</v>
      </c>
      <c r="M35" s="8">
        <v>9.5730130521012133E-2</v>
      </c>
    </row>
    <row r="36" spans="1:13" x14ac:dyDescent="0.2">
      <c r="A36" s="5">
        <v>45962</v>
      </c>
      <c r="B36" t="s">
        <v>74</v>
      </c>
      <c r="C36" s="4">
        <v>536280</v>
      </c>
      <c r="D36" s="4">
        <v>253112</v>
      </c>
      <c r="E36" s="4">
        <v>2203449</v>
      </c>
      <c r="F36" s="4">
        <v>131767</v>
      </c>
      <c r="G36" s="4">
        <v>62418</v>
      </c>
      <c r="H36" s="4">
        <v>25379</v>
      </c>
      <c r="I36" s="4">
        <v>121194</v>
      </c>
      <c r="J36">
        <v>85.1</v>
      </c>
      <c r="K36" s="4">
        <v>3623.5135135135133</v>
      </c>
      <c r="L36" s="6">
        <v>4.1087659431640189</v>
      </c>
      <c r="M36" s="8">
        <v>0.12851125667079202</v>
      </c>
    </row>
    <row r="37" spans="1:13" x14ac:dyDescent="0.2">
      <c r="A37" s="5">
        <v>45992</v>
      </c>
      <c r="B37" t="s">
        <v>74</v>
      </c>
      <c r="C37" s="4">
        <v>519771</v>
      </c>
      <c r="D37" s="4">
        <v>292883</v>
      </c>
      <c r="E37" s="4">
        <v>2203449</v>
      </c>
      <c r="F37" s="4">
        <v>114549</v>
      </c>
      <c r="G37" s="4">
        <v>86510</v>
      </c>
      <c r="H37" s="4">
        <v>14429</v>
      </c>
      <c r="I37" s="4">
        <v>75438</v>
      </c>
      <c r="J37">
        <v>88.4</v>
      </c>
      <c r="K37" s="4">
        <v>3511.9662162162163</v>
      </c>
      <c r="L37" s="6">
        <v>4.2392688318509499</v>
      </c>
      <c r="M37" s="8">
        <v>0.10296948102724411</v>
      </c>
    </row>
    <row r="38" spans="1:13" x14ac:dyDescent="0.2">
      <c r="A38" s="5">
        <v>45658</v>
      </c>
      <c r="B38" t="s">
        <v>108</v>
      </c>
      <c r="C38" s="4">
        <v>381765</v>
      </c>
      <c r="D38" s="4">
        <v>165654</v>
      </c>
      <c r="E38" s="4">
        <v>1729940</v>
      </c>
      <c r="F38" s="4">
        <v>85034</v>
      </c>
      <c r="G38" s="4">
        <v>93926</v>
      </c>
      <c r="H38" s="4">
        <v>4759</v>
      </c>
      <c r="I38" s="4">
        <v>90409</v>
      </c>
      <c r="J38">
        <v>82.2</v>
      </c>
      <c r="K38" s="4">
        <v>2892.159090909091</v>
      </c>
      <c r="L38" s="6">
        <v>4.5314264010582423</v>
      </c>
      <c r="M38" s="8">
        <v>0.12492398580297583</v>
      </c>
    </row>
    <row r="39" spans="1:13" x14ac:dyDescent="0.2">
      <c r="A39" s="5">
        <v>45689</v>
      </c>
      <c r="B39" t="s">
        <v>108</v>
      </c>
      <c r="C39" s="4">
        <v>434382</v>
      </c>
      <c r="D39" s="4">
        <v>249988</v>
      </c>
      <c r="E39" s="4">
        <v>1729940</v>
      </c>
      <c r="F39" s="4">
        <v>88766</v>
      </c>
      <c r="G39" s="4">
        <v>72732</v>
      </c>
      <c r="H39" s="4">
        <v>26812</v>
      </c>
      <c r="I39" s="4">
        <v>50069</v>
      </c>
      <c r="J39">
        <v>91.2</v>
      </c>
      <c r="K39" s="4">
        <v>3290.7727272727275</v>
      </c>
      <c r="L39" s="6">
        <v>3.9825315045282723</v>
      </c>
      <c r="M39" s="8">
        <v>0.10658982392452918</v>
      </c>
    </row>
    <row r="40" spans="1:13" x14ac:dyDescent="0.2">
      <c r="A40" s="5">
        <v>45717</v>
      </c>
      <c r="B40" t="s">
        <v>108</v>
      </c>
      <c r="C40" s="4">
        <v>402246</v>
      </c>
      <c r="D40" s="4">
        <v>210309</v>
      </c>
      <c r="E40" s="4">
        <v>1729940</v>
      </c>
      <c r="F40" s="4">
        <v>86560</v>
      </c>
      <c r="G40" s="4">
        <v>34623</v>
      </c>
      <c r="H40" s="4">
        <v>25858</v>
      </c>
      <c r="I40" s="4">
        <v>47309</v>
      </c>
      <c r="J40">
        <v>79.599999999999994</v>
      </c>
      <c r="K40" s="4">
        <v>3047.318181818182</v>
      </c>
      <c r="L40" s="6">
        <v>4.3007015607364645</v>
      </c>
      <c r="M40" s="8">
        <v>0.11095009075459264</v>
      </c>
    </row>
    <row r="41" spans="1:13" x14ac:dyDescent="0.2">
      <c r="A41" s="5">
        <v>45748</v>
      </c>
      <c r="B41" t="s">
        <v>108</v>
      </c>
      <c r="C41" s="4">
        <v>423201</v>
      </c>
      <c r="D41" s="4">
        <v>240793</v>
      </c>
      <c r="E41" s="4">
        <v>1756152</v>
      </c>
      <c r="F41" s="4">
        <v>105071</v>
      </c>
      <c r="G41" s="4">
        <v>86794</v>
      </c>
      <c r="H41" s="4">
        <v>12709</v>
      </c>
      <c r="I41" s="4">
        <v>38611</v>
      </c>
      <c r="J41">
        <v>86.5</v>
      </c>
      <c r="K41" s="4">
        <v>3158.2164179104479</v>
      </c>
      <c r="L41" s="6">
        <v>4.1496877370327576</v>
      </c>
      <c r="M41" s="8">
        <v>0.10386800231415048</v>
      </c>
    </row>
    <row r="42" spans="1:13" x14ac:dyDescent="0.2">
      <c r="A42" s="5">
        <v>45778</v>
      </c>
      <c r="B42" t="s">
        <v>108</v>
      </c>
      <c r="C42" s="4">
        <v>443441</v>
      </c>
      <c r="D42" s="4">
        <v>245264</v>
      </c>
      <c r="E42" s="4">
        <v>1756152</v>
      </c>
      <c r="F42" s="4">
        <v>94062</v>
      </c>
      <c r="G42" s="4">
        <v>72233</v>
      </c>
      <c r="H42" s="4">
        <v>8210</v>
      </c>
      <c r="I42" s="4">
        <v>91349</v>
      </c>
      <c r="J42">
        <v>88.3</v>
      </c>
      <c r="K42" s="4">
        <v>3309.2611940298507</v>
      </c>
      <c r="L42" s="6">
        <v>3.9602833296876021</v>
      </c>
      <c r="M42" s="8">
        <v>0.11284729340057124</v>
      </c>
    </row>
    <row r="43" spans="1:13" x14ac:dyDescent="0.2">
      <c r="A43" s="5">
        <v>45809</v>
      </c>
      <c r="B43" t="s">
        <v>108</v>
      </c>
      <c r="C43" s="4">
        <v>424208</v>
      </c>
      <c r="D43" s="4">
        <v>214933</v>
      </c>
      <c r="E43" s="4">
        <v>1729940</v>
      </c>
      <c r="F43" s="4">
        <v>99969</v>
      </c>
      <c r="G43" s="4">
        <v>68780</v>
      </c>
      <c r="H43" s="4">
        <v>7436</v>
      </c>
      <c r="I43" s="4">
        <v>89745</v>
      </c>
      <c r="J43">
        <v>88</v>
      </c>
      <c r="K43" s="4">
        <v>3213.6969696969695</v>
      </c>
      <c r="L43" s="6">
        <v>4.0780466186399122</v>
      </c>
      <c r="M43" s="8">
        <v>0.12097240366717921</v>
      </c>
    </row>
    <row r="44" spans="1:13" x14ac:dyDescent="0.2">
      <c r="A44" s="5">
        <v>45839</v>
      </c>
      <c r="B44" t="s">
        <v>108</v>
      </c>
      <c r="C44" s="4">
        <v>373290</v>
      </c>
      <c r="D44" s="4">
        <v>151405</v>
      </c>
      <c r="E44" s="4">
        <v>1729940</v>
      </c>
      <c r="F44" s="4">
        <v>121761</v>
      </c>
      <c r="G44" s="4">
        <v>40740</v>
      </c>
      <c r="H44" s="4">
        <v>10704</v>
      </c>
      <c r="I44" s="4">
        <v>82633</v>
      </c>
      <c r="J44">
        <v>80</v>
      </c>
      <c r="K44" s="4">
        <v>2827.9545454545455</v>
      </c>
      <c r="L44" s="6">
        <v>4.6343057676337436</v>
      </c>
      <c r="M44" s="8">
        <v>0.12826167381527684</v>
      </c>
    </row>
    <row r="45" spans="1:13" x14ac:dyDescent="0.2">
      <c r="A45" s="5">
        <v>45870</v>
      </c>
      <c r="B45" t="s">
        <v>108</v>
      </c>
      <c r="C45" s="4">
        <v>404509</v>
      </c>
      <c r="D45" s="4">
        <v>168620</v>
      </c>
      <c r="E45" s="4">
        <v>1716835</v>
      </c>
      <c r="F45" s="4">
        <v>99893</v>
      </c>
      <c r="G45" s="4">
        <v>103147</v>
      </c>
      <c r="H45" s="4">
        <v>15615</v>
      </c>
      <c r="I45" s="4">
        <v>66864</v>
      </c>
      <c r="J45">
        <v>84</v>
      </c>
      <c r="K45" s="4">
        <v>3087.8549618320612</v>
      </c>
      <c r="L45" s="6">
        <v>4.2442442566172813</v>
      </c>
      <c r="M45" s="8">
        <v>0.13739759499311233</v>
      </c>
    </row>
    <row r="46" spans="1:13" x14ac:dyDescent="0.2">
      <c r="A46" s="5">
        <v>45901</v>
      </c>
      <c r="B46" t="s">
        <v>108</v>
      </c>
      <c r="C46" s="4">
        <v>386215</v>
      </c>
      <c r="D46" s="4">
        <v>211140</v>
      </c>
      <c r="E46" s="4">
        <v>1716835</v>
      </c>
      <c r="F46" s="4">
        <v>109825</v>
      </c>
      <c r="G46" s="4">
        <v>106920</v>
      </c>
      <c r="H46" s="4">
        <v>16738</v>
      </c>
      <c r="I46" s="4">
        <v>63052</v>
      </c>
      <c r="J46">
        <v>84.8</v>
      </c>
      <c r="K46" s="4">
        <v>2948.2061068702292</v>
      </c>
      <c r="L46" s="6">
        <v>4.4452830677213466</v>
      </c>
      <c r="M46" s="8">
        <v>0.10197543736002586</v>
      </c>
    </row>
    <row r="47" spans="1:13" x14ac:dyDescent="0.2">
      <c r="A47" s="5">
        <v>45931</v>
      </c>
      <c r="B47" t="s">
        <v>108</v>
      </c>
      <c r="C47" s="4">
        <v>390575</v>
      </c>
      <c r="D47" s="4">
        <v>202368</v>
      </c>
      <c r="E47" s="4">
        <v>1716835</v>
      </c>
      <c r="F47" s="4">
        <v>95320</v>
      </c>
      <c r="G47" s="4">
        <v>43832</v>
      </c>
      <c r="H47" s="4">
        <v>14155</v>
      </c>
      <c r="I47" s="4">
        <v>74576</v>
      </c>
      <c r="J47">
        <v>86.5</v>
      </c>
      <c r="K47" s="4">
        <v>2981.4885496183206</v>
      </c>
      <c r="L47" s="6">
        <v>4.3956602445112978</v>
      </c>
      <c r="M47" s="8">
        <v>0.10962439605436748</v>
      </c>
    </row>
    <row r="48" spans="1:13" x14ac:dyDescent="0.2">
      <c r="A48" s="5">
        <v>45962</v>
      </c>
      <c r="B48" t="s">
        <v>108</v>
      </c>
      <c r="C48" s="4">
        <v>385672</v>
      </c>
      <c r="D48" s="4">
        <v>222949</v>
      </c>
      <c r="E48" s="4">
        <v>1729940</v>
      </c>
      <c r="F48" s="4">
        <v>110534</v>
      </c>
      <c r="G48" s="4">
        <v>73507</v>
      </c>
      <c r="H48" s="4">
        <v>39067</v>
      </c>
      <c r="I48" s="4">
        <v>73532</v>
      </c>
      <c r="J48">
        <v>85.1</v>
      </c>
      <c r="K48" s="4">
        <v>2921.757575757576</v>
      </c>
      <c r="L48" s="6">
        <v>4.4855213756767407</v>
      </c>
      <c r="M48" s="8">
        <v>9.4062799865891306E-2</v>
      </c>
    </row>
    <row r="49" spans="1:13" x14ac:dyDescent="0.2">
      <c r="A49" s="5">
        <v>45992</v>
      </c>
      <c r="B49" t="s">
        <v>108</v>
      </c>
      <c r="C49" s="4">
        <v>448379</v>
      </c>
      <c r="D49" s="4">
        <v>226581</v>
      </c>
      <c r="E49" s="4">
        <v>1756152</v>
      </c>
      <c r="F49" s="4">
        <v>94321</v>
      </c>
      <c r="G49" s="4">
        <v>117416</v>
      </c>
      <c r="H49" s="4">
        <v>14721</v>
      </c>
      <c r="I49" s="4">
        <v>77609</v>
      </c>
      <c r="J49">
        <v>94.3</v>
      </c>
      <c r="K49" s="4">
        <v>3346.1119402985073</v>
      </c>
      <c r="L49" s="6">
        <v>3.916668711068092</v>
      </c>
      <c r="M49" s="8">
        <v>0.12629772365945544</v>
      </c>
    </row>
    <row r="50" spans="1:13" x14ac:dyDescent="0.2">
      <c r="A50" s="5">
        <v>45658</v>
      </c>
      <c r="B50" t="s">
        <v>12</v>
      </c>
      <c r="C50" s="4">
        <v>269152</v>
      </c>
      <c r="D50" s="4">
        <v>124036</v>
      </c>
      <c r="E50" s="4">
        <v>982417</v>
      </c>
      <c r="F50" s="4">
        <v>52244</v>
      </c>
      <c r="G50" s="4">
        <v>21976</v>
      </c>
      <c r="H50" s="4">
        <v>26567</v>
      </c>
      <c r="I50" s="4">
        <v>42915</v>
      </c>
      <c r="J50">
        <v>83.1</v>
      </c>
      <c r="K50" s="4">
        <v>4272.2539682539682</v>
      </c>
      <c r="L50" s="6">
        <v>3.6500453275472595</v>
      </c>
      <c r="M50" s="8">
        <v>0.1477132419329063</v>
      </c>
    </row>
    <row r="51" spans="1:13" x14ac:dyDescent="0.2">
      <c r="A51" s="5">
        <v>45689</v>
      </c>
      <c r="B51" t="s">
        <v>12</v>
      </c>
      <c r="C51" s="4">
        <v>297966</v>
      </c>
      <c r="D51" s="4">
        <v>156692</v>
      </c>
      <c r="E51" s="4">
        <v>998011</v>
      </c>
      <c r="F51" s="4">
        <v>42445</v>
      </c>
      <c r="G51" s="4">
        <v>26588</v>
      </c>
      <c r="H51" s="4">
        <v>0</v>
      </c>
      <c r="I51" s="4">
        <v>27829</v>
      </c>
      <c r="J51">
        <v>90</v>
      </c>
      <c r="K51" s="4">
        <v>4655.71875</v>
      </c>
      <c r="L51" s="6">
        <v>3.3494123490599597</v>
      </c>
      <c r="M51" s="8">
        <v>0.14155555399689984</v>
      </c>
    </row>
    <row r="52" spans="1:13" x14ac:dyDescent="0.2">
      <c r="A52" s="5">
        <v>45717</v>
      </c>
      <c r="B52" t="s">
        <v>12</v>
      </c>
      <c r="C52" s="4">
        <v>257278</v>
      </c>
      <c r="D52" s="4">
        <v>136592</v>
      </c>
      <c r="E52" s="4">
        <v>982417</v>
      </c>
      <c r="F52" s="4">
        <v>66341</v>
      </c>
      <c r="G52" s="4">
        <v>21380</v>
      </c>
      <c r="H52" s="4">
        <v>8448</v>
      </c>
      <c r="I52" s="4">
        <v>37137</v>
      </c>
      <c r="J52">
        <v>83.8</v>
      </c>
      <c r="K52" s="4">
        <v>4083.7777777777778</v>
      </c>
      <c r="L52" s="6">
        <v>3.8185037197117513</v>
      </c>
      <c r="M52" s="8">
        <v>0.1228460012397994</v>
      </c>
    </row>
    <row r="53" spans="1:13" x14ac:dyDescent="0.2">
      <c r="A53" s="5">
        <v>45748</v>
      </c>
      <c r="B53" t="s">
        <v>12</v>
      </c>
      <c r="C53" s="4">
        <v>295380</v>
      </c>
      <c r="D53" s="4">
        <v>149469</v>
      </c>
      <c r="E53" s="4">
        <v>982417</v>
      </c>
      <c r="F53" s="4">
        <v>68740</v>
      </c>
      <c r="G53" s="4">
        <v>48679</v>
      </c>
      <c r="H53" s="4">
        <v>6601</v>
      </c>
      <c r="I53" s="4">
        <v>50351</v>
      </c>
      <c r="J53">
        <v>90.1</v>
      </c>
      <c r="K53" s="4">
        <v>4688.5714285714284</v>
      </c>
      <c r="L53" s="6">
        <v>3.3259428532737489</v>
      </c>
      <c r="M53" s="8">
        <v>0.14852247060056981</v>
      </c>
    </row>
    <row r="54" spans="1:13" x14ac:dyDescent="0.2">
      <c r="A54" s="5">
        <v>45778</v>
      </c>
      <c r="B54" t="s">
        <v>12</v>
      </c>
      <c r="C54" s="4">
        <v>268253</v>
      </c>
      <c r="D54" s="4">
        <v>115593</v>
      </c>
      <c r="E54" s="4">
        <v>998011</v>
      </c>
      <c r="F54" s="4">
        <v>49740</v>
      </c>
      <c r="G54" s="4">
        <v>48468</v>
      </c>
      <c r="H54" s="4">
        <v>33530</v>
      </c>
      <c r="I54" s="4">
        <v>53244</v>
      </c>
      <c r="J54">
        <v>88.2</v>
      </c>
      <c r="K54" s="4">
        <v>4191.453125</v>
      </c>
      <c r="L54" s="6">
        <v>3.7204094641998413</v>
      </c>
      <c r="M54" s="8">
        <v>0.15296424588506541</v>
      </c>
    </row>
    <row r="55" spans="1:13" x14ac:dyDescent="0.2">
      <c r="A55" s="5">
        <v>45809</v>
      </c>
      <c r="B55" t="s">
        <v>12</v>
      </c>
      <c r="C55" s="4">
        <v>289660</v>
      </c>
      <c r="D55" s="4">
        <v>132414</v>
      </c>
      <c r="E55" s="4">
        <v>1029199</v>
      </c>
      <c r="F55" s="4">
        <v>73511</v>
      </c>
      <c r="G55" s="4">
        <v>56164</v>
      </c>
      <c r="H55" s="4">
        <v>0</v>
      </c>
      <c r="I55" s="4">
        <v>35133</v>
      </c>
      <c r="J55">
        <v>86.4</v>
      </c>
      <c r="K55" s="4">
        <v>4388.787878787879</v>
      </c>
      <c r="L55" s="6">
        <v>3.5531278050127737</v>
      </c>
      <c r="M55" s="8">
        <v>0.15278483558573219</v>
      </c>
    </row>
    <row r="56" spans="1:13" x14ac:dyDescent="0.2">
      <c r="A56" s="5">
        <v>45839</v>
      </c>
      <c r="B56" t="s">
        <v>12</v>
      </c>
      <c r="C56" s="4">
        <v>272540</v>
      </c>
      <c r="D56" s="4">
        <v>115332</v>
      </c>
      <c r="E56" s="4">
        <v>998011</v>
      </c>
      <c r="F56" s="4">
        <v>48200</v>
      </c>
      <c r="G56" s="4">
        <v>61377</v>
      </c>
      <c r="H56" s="4">
        <v>0</v>
      </c>
      <c r="I56" s="4">
        <v>29844</v>
      </c>
      <c r="J56">
        <v>84.6</v>
      </c>
      <c r="K56" s="4">
        <v>4258.4375</v>
      </c>
      <c r="L56" s="6">
        <v>3.661888163205401</v>
      </c>
      <c r="M56" s="8">
        <v>0.15752130988536198</v>
      </c>
    </row>
    <row r="57" spans="1:13" x14ac:dyDescent="0.2">
      <c r="A57" s="5">
        <v>45870</v>
      </c>
      <c r="B57" t="s">
        <v>12</v>
      </c>
      <c r="C57" s="4">
        <v>289427</v>
      </c>
      <c r="D57" s="4">
        <v>148298</v>
      </c>
      <c r="E57" s="4">
        <v>998011</v>
      </c>
      <c r="F57" s="4">
        <v>49079</v>
      </c>
      <c r="G57" s="4">
        <v>55897</v>
      </c>
      <c r="H57" s="4">
        <v>10613</v>
      </c>
      <c r="I57" s="4">
        <v>35957</v>
      </c>
      <c r="J57">
        <v>88.3</v>
      </c>
      <c r="K57" s="4">
        <v>4522.296875</v>
      </c>
      <c r="L57" s="6">
        <v>3.4482304691683914</v>
      </c>
      <c r="M57" s="8">
        <v>0.14141026501711906</v>
      </c>
    </row>
    <row r="58" spans="1:13" x14ac:dyDescent="0.2">
      <c r="A58" s="5">
        <v>45901</v>
      </c>
      <c r="B58" t="s">
        <v>12</v>
      </c>
      <c r="C58" s="4">
        <v>277559</v>
      </c>
      <c r="D58" s="4">
        <v>130704</v>
      </c>
      <c r="E58" s="4">
        <v>998011</v>
      </c>
      <c r="F58" s="4">
        <v>47048</v>
      </c>
      <c r="G58" s="4">
        <v>46918</v>
      </c>
      <c r="H58" s="4">
        <v>0</v>
      </c>
      <c r="I58" s="4">
        <v>30367</v>
      </c>
      <c r="J58">
        <v>89.2</v>
      </c>
      <c r="K58" s="4">
        <v>4336.859375</v>
      </c>
      <c r="L58" s="6">
        <v>3.5956715509134995</v>
      </c>
      <c r="M58" s="8">
        <v>0.14714767672901402</v>
      </c>
    </row>
    <row r="59" spans="1:13" x14ac:dyDescent="0.2">
      <c r="A59" s="5">
        <v>45931</v>
      </c>
      <c r="B59" t="s">
        <v>12</v>
      </c>
      <c r="C59" s="4">
        <v>248952</v>
      </c>
      <c r="D59" s="4">
        <v>102458</v>
      </c>
      <c r="E59" s="4">
        <v>998011</v>
      </c>
      <c r="F59" s="4">
        <v>47551</v>
      </c>
      <c r="G59" s="4">
        <v>34086</v>
      </c>
      <c r="H59" s="4">
        <v>0</v>
      </c>
      <c r="I59" s="4">
        <v>32593</v>
      </c>
      <c r="J59">
        <v>83</v>
      </c>
      <c r="K59" s="4">
        <v>3889.875</v>
      </c>
      <c r="L59" s="6">
        <v>4.0088490954079505</v>
      </c>
      <c r="M59" s="8">
        <v>0.14678595726900806</v>
      </c>
    </row>
    <row r="60" spans="1:13" x14ac:dyDescent="0.2">
      <c r="A60" s="5">
        <v>45962</v>
      </c>
      <c r="B60" t="s">
        <v>12</v>
      </c>
      <c r="C60" s="4">
        <v>288073</v>
      </c>
      <c r="D60" s="4">
        <v>140279</v>
      </c>
      <c r="E60" s="4">
        <v>998011</v>
      </c>
      <c r="F60" s="4">
        <v>45696</v>
      </c>
      <c r="G60" s="4">
        <v>46555</v>
      </c>
      <c r="H60" s="4">
        <v>14293</v>
      </c>
      <c r="I60" s="4">
        <v>36346</v>
      </c>
      <c r="J60">
        <v>80.900000000000006</v>
      </c>
      <c r="K60" s="4">
        <v>4501.140625</v>
      </c>
      <c r="L60" s="6">
        <v>3.4644378334658228</v>
      </c>
      <c r="M60" s="8">
        <v>0.14808854812221509</v>
      </c>
    </row>
    <row r="61" spans="1:13" x14ac:dyDescent="0.2">
      <c r="A61" s="5">
        <v>45992</v>
      </c>
      <c r="B61" t="s">
        <v>12</v>
      </c>
      <c r="C61" s="4">
        <v>278530</v>
      </c>
      <c r="D61" s="4">
        <v>153811</v>
      </c>
      <c r="E61" s="4">
        <v>1013605</v>
      </c>
      <c r="F61" s="4">
        <v>56699</v>
      </c>
      <c r="G61" s="4">
        <v>53221</v>
      </c>
      <c r="H61" s="4">
        <v>4545</v>
      </c>
      <c r="I61" s="4">
        <v>45824</v>
      </c>
      <c r="J61">
        <v>84.8</v>
      </c>
      <c r="K61" s="4">
        <v>4285.0769230769229</v>
      </c>
      <c r="L61" s="6">
        <v>3.639123254227552</v>
      </c>
      <c r="M61" s="8">
        <v>0.12304497314042452</v>
      </c>
    </row>
    <row r="62" spans="1:13" x14ac:dyDescent="0.2">
      <c r="A62" s="5">
        <v>45658</v>
      </c>
      <c r="B62" t="s">
        <v>124</v>
      </c>
      <c r="C62" s="4">
        <v>206041</v>
      </c>
      <c r="D62" s="4">
        <v>99198</v>
      </c>
      <c r="E62" s="4">
        <v>674535</v>
      </c>
      <c r="F62" s="4">
        <v>40327</v>
      </c>
      <c r="G62" s="4">
        <v>22140</v>
      </c>
      <c r="H62" s="4">
        <v>0</v>
      </c>
      <c r="I62" s="4">
        <v>42309</v>
      </c>
      <c r="J62">
        <v>85.8</v>
      </c>
      <c r="K62" s="4">
        <v>4120.82</v>
      </c>
      <c r="L62" s="6">
        <v>3.2737901679762764</v>
      </c>
      <c r="M62" s="8">
        <v>0.15839504251076666</v>
      </c>
    </row>
    <row r="63" spans="1:13" x14ac:dyDescent="0.2">
      <c r="A63" s="5">
        <v>45689</v>
      </c>
      <c r="B63" t="s">
        <v>124</v>
      </c>
      <c r="C63" s="4">
        <v>205636</v>
      </c>
      <c r="D63" s="4">
        <v>104625</v>
      </c>
      <c r="E63" s="4">
        <v>674535</v>
      </c>
      <c r="F63" s="4">
        <v>45001</v>
      </c>
      <c r="G63" s="4">
        <v>41975</v>
      </c>
      <c r="H63" s="4">
        <v>0</v>
      </c>
      <c r="I63" s="4">
        <v>28251</v>
      </c>
      <c r="J63">
        <v>90.2</v>
      </c>
      <c r="K63" s="4">
        <v>4112.72</v>
      </c>
      <c r="L63" s="6">
        <v>3.2802378960882335</v>
      </c>
      <c r="M63" s="8">
        <v>0.14974908640767343</v>
      </c>
    </row>
    <row r="64" spans="1:13" x14ac:dyDescent="0.2">
      <c r="A64" s="5">
        <v>45717</v>
      </c>
      <c r="B64" t="s">
        <v>124</v>
      </c>
      <c r="C64" s="4">
        <v>200840</v>
      </c>
      <c r="D64" s="4">
        <v>96007</v>
      </c>
      <c r="E64" s="4">
        <v>647554</v>
      </c>
      <c r="F64" s="4">
        <v>32199</v>
      </c>
      <c r="G64" s="4">
        <v>26425</v>
      </c>
      <c r="H64" s="4">
        <v>0</v>
      </c>
      <c r="I64" s="4">
        <v>35760</v>
      </c>
      <c r="J64">
        <v>84.3</v>
      </c>
      <c r="K64" s="4">
        <v>4184.166666666667</v>
      </c>
      <c r="L64" s="6">
        <v>3.2242282413861783</v>
      </c>
      <c r="M64" s="8">
        <v>0.16189074579108462</v>
      </c>
    </row>
    <row r="65" spans="1:13" x14ac:dyDescent="0.2">
      <c r="A65" s="5">
        <v>45748</v>
      </c>
      <c r="B65" t="s">
        <v>124</v>
      </c>
      <c r="C65" s="4">
        <v>202152</v>
      </c>
      <c r="D65" s="4">
        <v>96360</v>
      </c>
      <c r="E65" s="4">
        <v>647554</v>
      </c>
      <c r="F65" s="4">
        <v>29790</v>
      </c>
      <c r="G65" s="4">
        <v>18991</v>
      </c>
      <c r="H65" s="4">
        <v>17072</v>
      </c>
      <c r="I65" s="4">
        <v>23539</v>
      </c>
      <c r="J65">
        <v>85.1</v>
      </c>
      <c r="K65" s="4">
        <v>4211.5</v>
      </c>
      <c r="L65" s="6">
        <v>3.2033024654715265</v>
      </c>
      <c r="M65" s="8">
        <v>0.16337170336373491</v>
      </c>
    </row>
    <row r="66" spans="1:13" x14ac:dyDescent="0.2">
      <c r="A66" s="5">
        <v>45778</v>
      </c>
      <c r="B66" t="s">
        <v>124</v>
      </c>
      <c r="C66" s="4">
        <v>183143</v>
      </c>
      <c r="D66" s="4">
        <v>70105</v>
      </c>
      <c r="E66" s="4">
        <v>647554</v>
      </c>
      <c r="F66" s="4">
        <v>35663</v>
      </c>
      <c r="G66" s="4">
        <v>33855</v>
      </c>
      <c r="H66" s="4">
        <v>0</v>
      </c>
      <c r="I66" s="4">
        <v>33526</v>
      </c>
      <c r="J66">
        <v>79.900000000000006</v>
      </c>
      <c r="K66" s="4">
        <v>3815.4791666666665</v>
      </c>
      <c r="L66" s="6">
        <v>3.5357835134293967</v>
      </c>
      <c r="M66" s="8">
        <v>0.17456150375103852</v>
      </c>
    </row>
    <row r="67" spans="1:13" x14ac:dyDescent="0.2">
      <c r="A67" s="5">
        <v>45809</v>
      </c>
      <c r="B67" t="s">
        <v>124</v>
      </c>
      <c r="C67" s="4">
        <v>193615</v>
      </c>
      <c r="D67" s="4">
        <v>92747</v>
      </c>
      <c r="E67" s="4">
        <v>647554</v>
      </c>
      <c r="F67" s="4">
        <v>33178</v>
      </c>
      <c r="G67" s="4">
        <v>18732</v>
      </c>
      <c r="H67" s="4">
        <v>15829</v>
      </c>
      <c r="I67" s="4">
        <v>32149</v>
      </c>
      <c r="J67">
        <v>83.4</v>
      </c>
      <c r="K67" s="4">
        <v>4033.6458333333335</v>
      </c>
      <c r="L67" s="6">
        <v>3.3445445859050178</v>
      </c>
      <c r="M67" s="8">
        <v>0.15576770431500694</v>
      </c>
    </row>
    <row r="68" spans="1:13" x14ac:dyDescent="0.2">
      <c r="A68" s="5">
        <v>45839</v>
      </c>
      <c r="B68" t="s">
        <v>124</v>
      </c>
      <c r="C68" s="4">
        <v>201570</v>
      </c>
      <c r="D68" s="4">
        <v>107961</v>
      </c>
      <c r="E68" s="4">
        <v>674535</v>
      </c>
      <c r="F68" s="4">
        <v>30467</v>
      </c>
      <c r="G68" s="4">
        <v>17112</v>
      </c>
      <c r="H68" s="4">
        <v>17327</v>
      </c>
      <c r="I68" s="4">
        <v>45051</v>
      </c>
      <c r="J68">
        <v>89.7</v>
      </c>
      <c r="K68" s="4">
        <v>4031.4</v>
      </c>
      <c r="L68" s="6">
        <v>3.3464057151361808</v>
      </c>
      <c r="M68" s="8">
        <v>0.13877560096955679</v>
      </c>
    </row>
    <row r="69" spans="1:13" x14ac:dyDescent="0.2">
      <c r="A69" s="5">
        <v>45870</v>
      </c>
      <c r="B69" t="s">
        <v>124</v>
      </c>
      <c r="C69" s="4">
        <v>209008</v>
      </c>
      <c r="D69" s="4">
        <v>103336</v>
      </c>
      <c r="E69" s="4">
        <v>701517</v>
      </c>
      <c r="F69" s="4">
        <v>43939</v>
      </c>
      <c r="G69" s="4">
        <v>37420</v>
      </c>
      <c r="H69" s="4">
        <v>9019</v>
      </c>
      <c r="I69" s="4">
        <v>27718</v>
      </c>
      <c r="J69">
        <v>89.9</v>
      </c>
      <c r="K69" s="4">
        <v>4019.3846153846152</v>
      </c>
      <c r="L69" s="6">
        <v>3.3564121947485264</v>
      </c>
      <c r="M69" s="8">
        <v>0.1506335555660091</v>
      </c>
    </row>
    <row r="70" spans="1:13" x14ac:dyDescent="0.2">
      <c r="A70" s="5">
        <v>45901</v>
      </c>
      <c r="B70" t="s">
        <v>124</v>
      </c>
      <c r="C70" s="4">
        <v>177842</v>
      </c>
      <c r="D70" s="4">
        <v>73367</v>
      </c>
      <c r="E70" s="4">
        <v>701517</v>
      </c>
      <c r="F70" s="4">
        <v>54192</v>
      </c>
      <c r="G70" s="4">
        <v>27179</v>
      </c>
      <c r="H70" s="4">
        <v>10687</v>
      </c>
      <c r="I70" s="4">
        <v>37096</v>
      </c>
      <c r="J70">
        <v>88.2</v>
      </c>
      <c r="K70" s="4">
        <v>3420.0384615384614</v>
      </c>
      <c r="L70" s="6">
        <v>3.9446081353111189</v>
      </c>
      <c r="M70" s="8">
        <v>0.14892725336663259</v>
      </c>
    </row>
    <row r="71" spans="1:13" x14ac:dyDescent="0.2">
      <c r="A71" s="5">
        <v>45931</v>
      </c>
      <c r="B71" t="s">
        <v>124</v>
      </c>
      <c r="C71" s="4">
        <v>208633</v>
      </c>
      <c r="D71" s="4">
        <v>95951</v>
      </c>
      <c r="E71" s="4">
        <v>728498</v>
      </c>
      <c r="F71" s="4">
        <v>34534</v>
      </c>
      <c r="G71" s="4">
        <v>38883</v>
      </c>
      <c r="H71" s="4">
        <v>15039</v>
      </c>
      <c r="I71" s="4">
        <v>39765</v>
      </c>
      <c r="J71">
        <v>88.6</v>
      </c>
      <c r="K71" s="4">
        <v>3863.5740740740739</v>
      </c>
      <c r="L71" s="6">
        <v>3.4917678411373081</v>
      </c>
      <c r="M71" s="8">
        <v>0.15467715765863463</v>
      </c>
    </row>
    <row r="72" spans="1:13" x14ac:dyDescent="0.2">
      <c r="A72" s="5">
        <v>45962</v>
      </c>
      <c r="B72" t="s">
        <v>124</v>
      </c>
      <c r="C72" s="4">
        <v>216266</v>
      </c>
      <c r="D72" s="4">
        <v>83672</v>
      </c>
      <c r="E72" s="4">
        <v>728498</v>
      </c>
      <c r="F72" s="4">
        <v>45107</v>
      </c>
      <c r="G72" s="4">
        <v>33083</v>
      </c>
      <c r="H72" s="4">
        <v>8695</v>
      </c>
      <c r="I72" s="4">
        <v>26986</v>
      </c>
      <c r="J72">
        <v>94.2</v>
      </c>
      <c r="K72" s="4">
        <v>4004.9259259259261</v>
      </c>
      <c r="L72" s="6">
        <v>3.3685276465093912</v>
      </c>
      <c r="M72" s="8">
        <v>0.18201010846975557</v>
      </c>
    </row>
    <row r="73" spans="1:13" x14ac:dyDescent="0.2">
      <c r="A73" s="5">
        <v>45992</v>
      </c>
      <c r="B73" t="s">
        <v>124</v>
      </c>
      <c r="C73" s="4">
        <v>185344</v>
      </c>
      <c r="D73" s="4">
        <v>85045</v>
      </c>
      <c r="E73" s="4">
        <v>728498</v>
      </c>
      <c r="F73" s="4">
        <v>55159</v>
      </c>
      <c r="G73" s="4">
        <v>18904</v>
      </c>
      <c r="H73" s="4">
        <v>0</v>
      </c>
      <c r="I73" s="4">
        <v>28874</v>
      </c>
      <c r="J73">
        <v>77.5</v>
      </c>
      <c r="K73" s="4">
        <v>3432.2962962962961</v>
      </c>
      <c r="L73" s="6">
        <v>3.9305183874309391</v>
      </c>
      <c r="M73" s="8">
        <v>0.13767917001831165</v>
      </c>
    </row>
    <row r="74" spans="1:13" x14ac:dyDescent="0.2">
      <c r="A74" s="5">
        <v>45658</v>
      </c>
      <c r="B74" t="s">
        <v>133</v>
      </c>
      <c r="C74" s="4">
        <v>306285</v>
      </c>
      <c r="D74" s="4">
        <v>118271</v>
      </c>
      <c r="E74" s="4">
        <v>925910</v>
      </c>
      <c r="F74" s="4">
        <v>63096</v>
      </c>
      <c r="G74" s="4">
        <v>26573</v>
      </c>
      <c r="H74" s="4">
        <v>0</v>
      </c>
      <c r="I74" s="4">
        <v>40464</v>
      </c>
      <c r="J74">
        <v>83.8</v>
      </c>
      <c r="K74" s="4">
        <v>4940.0806451612907</v>
      </c>
      <c r="L74" s="6">
        <v>3.023034102225052</v>
      </c>
      <c r="M74" s="8">
        <v>0.20305861260813687</v>
      </c>
    </row>
    <row r="75" spans="1:13" x14ac:dyDescent="0.2">
      <c r="A75" s="5">
        <v>45689</v>
      </c>
      <c r="B75" t="s">
        <v>133</v>
      </c>
      <c r="C75" s="4">
        <v>316329</v>
      </c>
      <c r="D75" s="4">
        <v>140325</v>
      </c>
      <c r="E75" s="4">
        <v>925910</v>
      </c>
      <c r="F75" s="4">
        <v>67819</v>
      </c>
      <c r="G75" s="4">
        <v>44968</v>
      </c>
      <c r="H75" s="4">
        <v>14620</v>
      </c>
      <c r="I75" s="4">
        <v>48205</v>
      </c>
      <c r="J75">
        <v>78.5</v>
      </c>
      <c r="K75" s="4">
        <v>5102.0806451612907</v>
      </c>
      <c r="L75" s="6">
        <v>2.9270474727261808</v>
      </c>
      <c r="M75" s="8">
        <v>0.19008758950653951</v>
      </c>
    </row>
    <row r="76" spans="1:13" x14ac:dyDescent="0.2">
      <c r="A76" s="5">
        <v>45717</v>
      </c>
      <c r="B76" t="s">
        <v>133</v>
      </c>
      <c r="C76" s="4">
        <v>367534</v>
      </c>
      <c r="D76" s="4">
        <v>207590</v>
      </c>
      <c r="E76" s="4">
        <v>955778</v>
      </c>
      <c r="F76" s="4">
        <v>52903</v>
      </c>
      <c r="G76" s="4">
        <v>53092</v>
      </c>
      <c r="H76" s="4">
        <v>19274</v>
      </c>
      <c r="I76" s="4">
        <v>43077</v>
      </c>
      <c r="J76">
        <v>90</v>
      </c>
      <c r="K76" s="4">
        <v>5742.71875</v>
      </c>
      <c r="L76" s="6">
        <v>2.6005158706405394</v>
      </c>
      <c r="M76" s="8">
        <v>0.16734429961769365</v>
      </c>
    </row>
    <row r="77" spans="1:13" x14ac:dyDescent="0.2">
      <c r="A77" s="5">
        <v>45748</v>
      </c>
      <c r="B77" t="s">
        <v>133</v>
      </c>
      <c r="C77" s="4">
        <v>362164</v>
      </c>
      <c r="D77" s="4">
        <v>202035</v>
      </c>
      <c r="E77" s="4">
        <v>985646</v>
      </c>
      <c r="F77" s="4">
        <v>56779</v>
      </c>
      <c r="G77" s="4">
        <v>52678</v>
      </c>
      <c r="H77" s="4">
        <v>24336</v>
      </c>
      <c r="I77" s="4">
        <v>34107</v>
      </c>
      <c r="J77">
        <v>86</v>
      </c>
      <c r="K77" s="4">
        <v>5487.333333333333</v>
      </c>
      <c r="L77" s="6">
        <v>2.7215460399156184</v>
      </c>
      <c r="M77" s="8">
        <v>0.1624609646871189</v>
      </c>
    </row>
    <row r="78" spans="1:13" x14ac:dyDescent="0.2">
      <c r="A78" s="5">
        <v>45778</v>
      </c>
      <c r="B78" t="s">
        <v>133</v>
      </c>
      <c r="C78" s="4">
        <v>359610</v>
      </c>
      <c r="D78" s="4">
        <v>139115</v>
      </c>
      <c r="E78" s="4">
        <v>1015514</v>
      </c>
      <c r="F78" s="4">
        <v>56029</v>
      </c>
      <c r="G78" s="4">
        <v>28960</v>
      </c>
      <c r="H78" s="4">
        <v>13933</v>
      </c>
      <c r="I78" s="4">
        <v>37518</v>
      </c>
      <c r="J78">
        <v>91.4</v>
      </c>
      <c r="K78" s="4">
        <v>5288.3823529411766</v>
      </c>
      <c r="L78" s="6">
        <v>2.8239314813269933</v>
      </c>
      <c r="M78" s="8">
        <v>0.21712649948695931</v>
      </c>
    </row>
    <row r="79" spans="1:13" x14ac:dyDescent="0.2">
      <c r="A79" s="5">
        <v>45809</v>
      </c>
      <c r="B79" t="s">
        <v>133</v>
      </c>
      <c r="C79" s="4">
        <v>372162</v>
      </c>
      <c r="D79" s="4">
        <v>167647</v>
      </c>
      <c r="E79" s="4">
        <v>1045382</v>
      </c>
      <c r="F79" s="4">
        <v>53308</v>
      </c>
      <c r="G79" s="4">
        <v>42366</v>
      </c>
      <c r="H79" s="4">
        <v>11597</v>
      </c>
      <c r="I79" s="4">
        <v>28580</v>
      </c>
      <c r="J79">
        <v>82.9</v>
      </c>
      <c r="K79" s="4">
        <v>5316.6</v>
      </c>
      <c r="L79" s="6">
        <v>2.8089434171140524</v>
      </c>
      <c r="M79" s="8">
        <v>0.1956366189584286</v>
      </c>
    </row>
    <row r="80" spans="1:13" x14ac:dyDescent="0.2">
      <c r="A80" s="5">
        <v>45839</v>
      </c>
      <c r="B80" t="s">
        <v>133</v>
      </c>
      <c r="C80" s="4">
        <v>320356</v>
      </c>
      <c r="D80" s="4">
        <v>170453</v>
      </c>
      <c r="E80" s="4">
        <v>1060316</v>
      </c>
      <c r="F80" s="4">
        <v>66923</v>
      </c>
      <c r="G80" s="4">
        <v>36205</v>
      </c>
      <c r="H80" s="4">
        <v>16564</v>
      </c>
      <c r="I80" s="4">
        <v>29733</v>
      </c>
      <c r="J80">
        <v>85.3</v>
      </c>
      <c r="K80" s="4">
        <v>4512.0563380281692</v>
      </c>
      <c r="L80" s="6">
        <v>3.3098053415575173</v>
      </c>
      <c r="M80" s="8">
        <v>0.14137577854149141</v>
      </c>
    </row>
    <row r="81" spans="1:13" x14ac:dyDescent="0.2">
      <c r="A81" s="5">
        <v>45870</v>
      </c>
      <c r="B81" t="s">
        <v>133</v>
      </c>
      <c r="C81" s="4">
        <v>347793</v>
      </c>
      <c r="D81" s="4">
        <v>201289</v>
      </c>
      <c r="E81" s="4">
        <v>1105118</v>
      </c>
      <c r="F81" s="4">
        <v>70640</v>
      </c>
      <c r="G81" s="4">
        <v>36102</v>
      </c>
      <c r="H81" s="4">
        <v>42981</v>
      </c>
      <c r="I81" s="4">
        <v>46505</v>
      </c>
      <c r="J81">
        <v>83.8</v>
      </c>
      <c r="K81" s="4">
        <v>4699.905405405405</v>
      </c>
      <c r="L81" s="6">
        <v>3.1775165112581334</v>
      </c>
      <c r="M81" s="8">
        <v>0.13256864877777758</v>
      </c>
    </row>
    <row r="82" spans="1:13" x14ac:dyDescent="0.2">
      <c r="A82" s="5">
        <v>45901</v>
      </c>
      <c r="B82" t="s">
        <v>133</v>
      </c>
      <c r="C82" s="4">
        <v>374417</v>
      </c>
      <c r="D82" s="4">
        <v>207658</v>
      </c>
      <c r="E82" s="4">
        <v>1164854</v>
      </c>
      <c r="F82" s="4">
        <v>66516</v>
      </c>
      <c r="G82" s="4">
        <v>61650</v>
      </c>
      <c r="H82" s="4">
        <v>24312</v>
      </c>
      <c r="I82" s="4">
        <v>35367</v>
      </c>
      <c r="J82">
        <v>84.4</v>
      </c>
      <c r="K82" s="4">
        <v>4800.2179487179483</v>
      </c>
      <c r="L82" s="6">
        <v>3.1111140786876663</v>
      </c>
      <c r="M82" s="8">
        <v>0.14315871345250133</v>
      </c>
    </row>
    <row r="83" spans="1:13" x14ac:dyDescent="0.2">
      <c r="A83" s="5">
        <v>45931</v>
      </c>
      <c r="B83" t="s">
        <v>133</v>
      </c>
      <c r="C83" s="4">
        <v>368965</v>
      </c>
      <c r="D83" s="4">
        <v>168560</v>
      </c>
      <c r="E83" s="4">
        <v>1164854</v>
      </c>
      <c r="F83" s="4">
        <v>59749</v>
      </c>
      <c r="G83" s="4">
        <v>38889</v>
      </c>
      <c r="H83" s="4">
        <v>0</v>
      </c>
      <c r="I83" s="4">
        <v>31855</v>
      </c>
      <c r="J83">
        <v>78.8</v>
      </c>
      <c r="K83" s="4">
        <v>4730.3205128205127</v>
      </c>
      <c r="L83" s="6">
        <v>3.1570853604000377</v>
      </c>
      <c r="M83" s="8">
        <v>0.17204301998362026</v>
      </c>
    </row>
    <row r="84" spans="1:13" x14ac:dyDescent="0.2">
      <c r="A84" s="5">
        <v>45962</v>
      </c>
      <c r="B84" t="s">
        <v>133</v>
      </c>
      <c r="C84" s="4">
        <v>416319</v>
      </c>
      <c r="D84" s="4">
        <v>204429</v>
      </c>
      <c r="E84" s="4">
        <v>1164854</v>
      </c>
      <c r="F84" s="4">
        <v>66399</v>
      </c>
      <c r="G84" s="4">
        <v>53291</v>
      </c>
      <c r="H84" s="4">
        <v>10497</v>
      </c>
      <c r="I84" s="4">
        <v>47984</v>
      </c>
      <c r="J84">
        <v>84.8</v>
      </c>
      <c r="K84" s="4">
        <v>5337.4230769230771</v>
      </c>
      <c r="L84" s="6">
        <v>2.7979842380482274</v>
      </c>
      <c r="M84" s="8">
        <v>0.18190262470661558</v>
      </c>
    </row>
    <row r="85" spans="1:13" x14ac:dyDescent="0.2">
      <c r="A85" s="5">
        <v>45992</v>
      </c>
      <c r="B85" t="s">
        <v>133</v>
      </c>
      <c r="C85" s="4">
        <v>438301</v>
      </c>
      <c r="D85" s="4">
        <v>219585</v>
      </c>
      <c r="E85" s="4">
        <v>1194722</v>
      </c>
      <c r="F85" s="4">
        <v>79606</v>
      </c>
      <c r="G85" s="4">
        <v>54821</v>
      </c>
      <c r="H85" s="4">
        <v>13798</v>
      </c>
      <c r="I85" s="4">
        <v>36072</v>
      </c>
      <c r="J85">
        <v>84.6</v>
      </c>
      <c r="K85" s="4">
        <v>5478.7624999999998</v>
      </c>
      <c r="L85" s="6">
        <v>2.7258025877193983</v>
      </c>
      <c r="M85" s="8">
        <v>0.18306852975001717</v>
      </c>
    </row>
    <row r="86" spans="1:13" x14ac:dyDescent="0.2">
      <c r="A86" s="5">
        <v>45658</v>
      </c>
      <c r="B86" t="s">
        <v>61</v>
      </c>
      <c r="C86" s="4">
        <v>439658</v>
      </c>
      <c r="D86" s="4">
        <v>250995</v>
      </c>
      <c r="E86" s="4">
        <v>1316235</v>
      </c>
      <c r="F86" s="4">
        <v>94352</v>
      </c>
      <c r="G86" s="4">
        <v>49012</v>
      </c>
      <c r="H86" s="4">
        <v>30808</v>
      </c>
      <c r="I86" s="4">
        <v>27030</v>
      </c>
      <c r="J86">
        <v>83.5</v>
      </c>
      <c r="K86" s="4">
        <v>5234.0238095238092</v>
      </c>
      <c r="L86" s="6">
        <v>2.9937701577134956</v>
      </c>
      <c r="M86" s="8">
        <v>0.14333534665162376</v>
      </c>
    </row>
    <row r="87" spans="1:13" x14ac:dyDescent="0.2">
      <c r="A87" s="5">
        <v>45689</v>
      </c>
      <c r="B87" t="s">
        <v>61</v>
      </c>
      <c r="C87" s="4">
        <v>502457</v>
      </c>
      <c r="D87" s="4">
        <v>257676</v>
      </c>
      <c r="E87" s="4">
        <v>1347574</v>
      </c>
      <c r="F87" s="4">
        <v>66225</v>
      </c>
      <c r="G87" s="4">
        <v>41579</v>
      </c>
      <c r="H87" s="4">
        <v>14126</v>
      </c>
      <c r="I87" s="4">
        <v>50402</v>
      </c>
      <c r="J87">
        <v>80.900000000000006</v>
      </c>
      <c r="K87" s="4">
        <v>5842.5232558139533</v>
      </c>
      <c r="L87" s="6">
        <v>2.6819688052908011</v>
      </c>
      <c r="M87" s="8">
        <v>0.18164568327973082</v>
      </c>
    </row>
    <row r="88" spans="1:13" x14ac:dyDescent="0.2">
      <c r="A88" s="5">
        <v>45717</v>
      </c>
      <c r="B88" t="s">
        <v>61</v>
      </c>
      <c r="C88" s="4">
        <v>479766</v>
      </c>
      <c r="D88" s="4">
        <v>195137</v>
      </c>
      <c r="E88" s="4">
        <v>1331904</v>
      </c>
      <c r="F88" s="4">
        <v>84485</v>
      </c>
      <c r="G88" s="4">
        <v>52748</v>
      </c>
      <c r="H88" s="4">
        <v>0</v>
      </c>
      <c r="I88" s="4">
        <v>75272</v>
      </c>
      <c r="J88">
        <v>85.6</v>
      </c>
      <c r="K88" s="4">
        <v>5644.3058823529409</v>
      </c>
      <c r="L88" s="6">
        <v>2.7761533747702005</v>
      </c>
      <c r="M88" s="8">
        <v>0.21370083729758302</v>
      </c>
    </row>
    <row r="89" spans="1:13" x14ac:dyDescent="0.2">
      <c r="A89" s="5">
        <v>45748</v>
      </c>
      <c r="B89" t="s">
        <v>61</v>
      </c>
      <c r="C89" s="4">
        <v>456543</v>
      </c>
      <c r="D89" s="4">
        <v>208951</v>
      </c>
      <c r="E89" s="4">
        <v>1316235</v>
      </c>
      <c r="F89" s="4">
        <v>75014</v>
      </c>
      <c r="G89" s="4">
        <v>70859</v>
      </c>
      <c r="H89" s="4">
        <v>0</v>
      </c>
      <c r="I89" s="4">
        <v>39301</v>
      </c>
      <c r="J89">
        <v>76.900000000000006</v>
      </c>
      <c r="K89" s="4">
        <v>5435.0357142857147</v>
      </c>
      <c r="L89" s="6">
        <v>2.8830471609465045</v>
      </c>
      <c r="M89" s="8">
        <v>0.18810622723145942</v>
      </c>
    </row>
    <row r="90" spans="1:13" x14ac:dyDescent="0.2">
      <c r="A90" s="5">
        <v>45778</v>
      </c>
      <c r="B90" t="s">
        <v>61</v>
      </c>
      <c r="C90" s="4">
        <v>417909</v>
      </c>
      <c r="D90" s="4">
        <v>230804</v>
      </c>
      <c r="E90" s="4">
        <v>1284896</v>
      </c>
      <c r="F90" s="4">
        <v>80686</v>
      </c>
      <c r="G90" s="4">
        <v>56851</v>
      </c>
      <c r="H90" s="4">
        <v>0</v>
      </c>
      <c r="I90" s="4">
        <v>54314</v>
      </c>
      <c r="J90">
        <v>85.5</v>
      </c>
      <c r="K90" s="4">
        <v>5096.4512195121952</v>
      </c>
      <c r="L90" s="6">
        <v>3.074583222663307</v>
      </c>
      <c r="M90" s="8">
        <v>0.14561878938061912</v>
      </c>
    </row>
    <row r="91" spans="1:13" x14ac:dyDescent="0.2">
      <c r="A91" s="5">
        <v>45809</v>
      </c>
      <c r="B91" t="s">
        <v>61</v>
      </c>
      <c r="C91" s="4">
        <v>436584</v>
      </c>
      <c r="D91" s="4">
        <v>247311</v>
      </c>
      <c r="E91" s="4">
        <v>1284896</v>
      </c>
      <c r="F91" s="4">
        <v>93970</v>
      </c>
      <c r="G91" s="4">
        <v>54020</v>
      </c>
      <c r="H91" s="4">
        <v>24616</v>
      </c>
      <c r="I91" s="4">
        <v>28277</v>
      </c>
      <c r="J91">
        <v>83.3</v>
      </c>
      <c r="K91" s="4">
        <v>5324.1951219512193</v>
      </c>
      <c r="L91" s="6">
        <v>2.9430670844556834</v>
      </c>
      <c r="M91" s="8">
        <v>0.14730608547306553</v>
      </c>
    </row>
    <row r="92" spans="1:13" x14ac:dyDescent="0.2">
      <c r="A92" s="5">
        <v>45839</v>
      </c>
      <c r="B92" t="s">
        <v>61</v>
      </c>
      <c r="C92" s="4">
        <v>410313</v>
      </c>
      <c r="D92" s="4">
        <v>164253</v>
      </c>
      <c r="E92" s="4">
        <v>1300565</v>
      </c>
      <c r="F92" s="4">
        <v>60508</v>
      </c>
      <c r="G92" s="4">
        <v>55875</v>
      </c>
      <c r="H92" s="4">
        <v>8632</v>
      </c>
      <c r="I92" s="4">
        <v>28073</v>
      </c>
      <c r="J92">
        <v>86.3</v>
      </c>
      <c r="K92" s="4">
        <v>4943.530120481928</v>
      </c>
      <c r="L92" s="6">
        <v>3.1696899683899851</v>
      </c>
      <c r="M92" s="8">
        <v>0.18919469615128809</v>
      </c>
    </row>
    <row r="93" spans="1:13" x14ac:dyDescent="0.2">
      <c r="A93" s="5">
        <v>45870</v>
      </c>
      <c r="B93" t="s">
        <v>61</v>
      </c>
      <c r="C93" s="4">
        <v>443369</v>
      </c>
      <c r="D93" s="4">
        <v>233547</v>
      </c>
      <c r="E93" s="4">
        <v>1284896</v>
      </c>
      <c r="F93" s="4">
        <v>54696</v>
      </c>
      <c r="G93" s="4">
        <v>68145</v>
      </c>
      <c r="H93" s="4">
        <v>0</v>
      </c>
      <c r="I93" s="4">
        <v>33019</v>
      </c>
      <c r="J93">
        <v>85</v>
      </c>
      <c r="K93" s="4">
        <v>5406.9390243902435</v>
      </c>
      <c r="L93" s="6">
        <v>2.8980285044737002</v>
      </c>
      <c r="M93" s="8">
        <v>0.16329881951535377</v>
      </c>
    </row>
    <row r="94" spans="1:13" x14ac:dyDescent="0.2">
      <c r="A94" s="5">
        <v>45901</v>
      </c>
      <c r="B94" t="s">
        <v>61</v>
      </c>
      <c r="C94" s="4">
        <v>394397</v>
      </c>
      <c r="D94" s="4">
        <v>169652</v>
      </c>
      <c r="E94" s="4">
        <v>1284896</v>
      </c>
      <c r="F94" s="4">
        <v>76311</v>
      </c>
      <c r="G94" s="4">
        <v>66817</v>
      </c>
      <c r="H94" s="4">
        <v>6075</v>
      </c>
      <c r="I94" s="4">
        <v>47783</v>
      </c>
      <c r="J94">
        <v>83.9</v>
      </c>
      <c r="K94" s="4">
        <v>4809.7195121951218</v>
      </c>
      <c r="L94" s="6">
        <v>3.2578746795741349</v>
      </c>
      <c r="M94" s="8">
        <v>0.1749129890668194</v>
      </c>
    </row>
    <row r="95" spans="1:13" x14ac:dyDescent="0.2">
      <c r="A95" s="5">
        <v>45931</v>
      </c>
      <c r="B95" t="s">
        <v>61</v>
      </c>
      <c r="C95" s="4">
        <v>409667</v>
      </c>
      <c r="D95" s="4">
        <v>216238</v>
      </c>
      <c r="E95" s="4">
        <v>1284896</v>
      </c>
      <c r="F95" s="4">
        <v>71161</v>
      </c>
      <c r="G95" s="4">
        <v>44282</v>
      </c>
      <c r="H95" s="4">
        <v>26971</v>
      </c>
      <c r="I95" s="4">
        <v>99395</v>
      </c>
      <c r="J95">
        <v>86.9</v>
      </c>
      <c r="K95" s="4">
        <v>4995.9390243902435</v>
      </c>
      <c r="L95" s="6">
        <v>3.1364400842635605</v>
      </c>
      <c r="M95" s="8">
        <v>0.15054058849899135</v>
      </c>
    </row>
    <row r="96" spans="1:13" x14ac:dyDescent="0.2">
      <c r="A96" s="5">
        <v>45962</v>
      </c>
      <c r="B96" t="s">
        <v>61</v>
      </c>
      <c r="C96" s="4">
        <v>451410</v>
      </c>
      <c r="D96" s="4">
        <v>222698</v>
      </c>
      <c r="E96" s="4">
        <v>1284896</v>
      </c>
      <c r="F96" s="4">
        <v>69522</v>
      </c>
      <c r="G96" s="4">
        <v>82419</v>
      </c>
      <c r="H96" s="4">
        <v>5250</v>
      </c>
      <c r="I96" s="4">
        <v>96301</v>
      </c>
      <c r="J96">
        <v>89.4</v>
      </c>
      <c r="K96" s="4">
        <v>5505</v>
      </c>
      <c r="L96" s="6">
        <v>2.8464057065638775</v>
      </c>
      <c r="M96" s="8">
        <v>0.17800039847582996</v>
      </c>
    </row>
    <row r="97" spans="1:13" x14ac:dyDescent="0.2">
      <c r="A97" s="5">
        <v>45992</v>
      </c>
      <c r="B97" t="s">
        <v>61</v>
      </c>
      <c r="C97" s="4">
        <v>456767</v>
      </c>
      <c r="D97" s="4">
        <v>200619</v>
      </c>
      <c r="E97" s="4">
        <v>1284896</v>
      </c>
      <c r="F97" s="4">
        <v>69276</v>
      </c>
      <c r="G97" s="4">
        <v>53600</v>
      </c>
      <c r="H97" s="4">
        <v>0</v>
      </c>
      <c r="I97" s="4">
        <v>51914</v>
      </c>
      <c r="J97">
        <v>87.1</v>
      </c>
      <c r="K97" s="4">
        <v>5570.3292682926831</v>
      </c>
      <c r="L97" s="6">
        <v>2.8130228322098576</v>
      </c>
      <c r="M97" s="8">
        <v>0.19935309939481483</v>
      </c>
    </row>
    <row r="98" spans="1:13" x14ac:dyDescent="0.2">
      <c r="A98" s="5">
        <v>45658</v>
      </c>
      <c r="B98" t="s">
        <v>96</v>
      </c>
      <c r="C98" s="4">
        <v>946919</v>
      </c>
      <c r="D98" s="4">
        <v>461533</v>
      </c>
      <c r="E98" s="4">
        <v>1761821</v>
      </c>
      <c r="F98" s="4">
        <v>100352</v>
      </c>
      <c r="G98" s="4">
        <v>80154</v>
      </c>
      <c r="H98" s="4">
        <v>33886</v>
      </c>
      <c r="I98" s="4">
        <v>49709</v>
      </c>
      <c r="J98">
        <v>88.5</v>
      </c>
      <c r="K98" s="4">
        <v>8024.7372881355932</v>
      </c>
      <c r="L98" s="6">
        <v>1.8605825841492249</v>
      </c>
      <c r="M98" s="8">
        <v>0.27550244888669168</v>
      </c>
    </row>
    <row r="99" spans="1:13" x14ac:dyDescent="0.2">
      <c r="A99" s="5">
        <v>45689</v>
      </c>
      <c r="B99" t="s">
        <v>96</v>
      </c>
      <c r="C99" s="4">
        <v>1064551</v>
      </c>
      <c r="D99" s="4">
        <v>544508</v>
      </c>
      <c r="E99" s="4">
        <v>1791682</v>
      </c>
      <c r="F99" s="4">
        <v>102067</v>
      </c>
      <c r="G99" s="4">
        <v>61971</v>
      </c>
      <c r="H99" s="4">
        <v>17898</v>
      </c>
      <c r="I99" s="4">
        <v>97849</v>
      </c>
      <c r="J99">
        <v>87.5</v>
      </c>
      <c r="K99" s="4">
        <v>8871.2583333333332</v>
      </c>
      <c r="L99" s="6">
        <v>1.6830400798082947</v>
      </c>
      <c r="M99" s="8">
        <v>0.29025407410466814</v>
      </c>
    </row>
    <row r="100" spans="1:13" x14ac:dyDescent="0.2">
      <c r="A100" s="5">
        <v>45717</v>
      </c>
      <c r="B100" t="s">
        <v>96</v>
      </c>
      <c r="C100" s="4">
        <v>1034862</v>
      </c>
      <c r="D100" s="4">
        <v>458264</v>
      </c>
      <c r="E100" s="4">
        <v>1791682</v>
      </c>
      <c r="F100" s="4">
        <v>103784</v>
      </c>
      <c r="G100" s="4">
        <v>61127</v>
      </c>
      <c r="H100" s="4">
        <v>9419</v>
      </c>
      <c r="I100" s="4">
        <v>54867</v>
      </c>
      <c r="J100">
        <v>88.4</v>
      </c>
      <c r="K100" s="4">
        <v>8623.85</v>
      </c>
      <c r="L100" s="6">
        <v>1.7313245630818408</v>
      </c>
      <c r="M100" s="8">
        <v>0.3218193853596788</v>
      </c>
    </row>
    <row r="101" spans="1:13" x14ac:dyDescent="0.2">
      <c r="A101" s="5">
        <v>45748</v>
      </c>
      <c r="B101" t="s">
        <v>96</v>
      </c>
      <c r="C101" s="4">
        <v>1093181</v>
      </c>
      <c r="D101" s="4">
        <v>420339</v>
      </c>
      <c r="E101" s="4">
        <v>1776752</v>
      </c>
      <c r="F101" s="4">
        <v>95468</v>
      </c>
      <c r="G101" s="4">
        <v>45310</v>
      </c>
      <c r="H101" s="4">
        <v>0</v>
      </c>
      <c r="I101" s="4">
        <v>85648</v>
      </c>
      <c r="J101">
        <v>87.1</v>
      </c>
      <c r="K101" s="4">
        <v>9186.3949579831933</v>
      </c>
      <c r="L101" s="6">
        <v>1.6253045012674021</v>
      </c>
      <c r="M101" s="8">
        <v>0.37869213035921728</v>
      </c>
    </row>
    <row r="102" spans="1:13" x14ac:dyDescent="0.2">
      <c r="A102" s="5">
        <v>45778</v>
      </c>
      <c r="B102" t="s">
        <v>96</v>
      </c>
      <c r="C102" s="4">
        <v>993652</v>
      </c>
      <c r="D102" s="4">
        <v>399861</v>
      </c>
      <c r="E102" s="4">
        <v>1761821</v>
      </c>
      <c r="F102" s="4">
        <v>98507</v>
      </c>
      <c r="G102" s="4">
        <v>96298</v>
      </c>
      <c r="H102" s="4">
        <v>0</v>
      </c>
      <c r="I102" s="4">
        <v>40271</v>
      </c>
      <c r="J102">
        <v>90.8</v>
      </c>
      <c r="K102" s="4">
        <v>8420.7796610169498</v>
      </c>
      <c r="L102" s="6">
        <v>1.7730764895556996</v>
      </c>
      <c r="M102" s="8">
        <v>0.33703253622246526</v>
      </c>
    </row>
    <row r="103" spans="1:13" x14ac:dyDescent="0.2">
      <c r="A103" s="5">
        <v>45809</v>
      </c>
      <c r="B103" t="s">
        <v>96</v>
      </c>
      <c r="C103" s="4">
        <v>1051542</v>
      </c>
      <c r="D103" s="4">
        <v>482395</v>
      </c>
      <c r="E103" s="4">
        <v>1761821</v>
      </c>
      <c r="F103" s="4">
        <v>81060</v>
      </c>
      <c r="G103" s="4">
        <v>46591</v>
      </c>
      <c r="H103" s="4">
        <v>16574</v>
      </c>
      <c r="I103" s="4">
        <v>39579</v>
      </c>
      <c r="J103">
        <v>90.4</v>
      </c>
      <c r="K103" s="4">
        <v>8911.3728813559319</v>
      </c>
      <c r="L103" s="6">
        <v>1.6754642230172452</v>
      </c>
      <c r="M103" s="8">
        <v>0.32304473609975132</v>
      </c>
    </row>
    <row r="104" spans="1:13" x14ac:dyDescent="0.2">
      <c r="A104" s="5">
        <v>45839</v>
      </c>
      <c r="B104" t="s">
        <v>96</v>
      </c>
      <c r="C104" s="4">
        <v>965003</v>
      </c>
      <c r="D104" s="4">
        <v>431573</v>
      </c>
      <c r="E104" s="4">
        <v>1746890</v>
      </c>
      <c r="F104" s="4">
        <v>109954</v>
      </c>
      <c r="G104" s="4">
        <v>82801</v>
      </c>
      <c r="H104" s="4">
        <v>0</v>
      </c>
      <c r="I104" s="4">
        <v>98362</v>
      </c>
      <c r="J104">
        <v>85.9</v>
      </c>
      <c r="K104" s="4">
        <v>8247.8888888888887</v>
      </c>
      <c r="L104" s="6">
        <v>1.8102430769645275</v>
      </c>
      <c r="M104" s="8">
        <v>0.30535981086387809</v>
      </c>
    </row>
    <row r="105" spans="1:13" x14ac:dyDescent="0.2">
      <c r="A105" s="5">
        <v>45870</v>
      </c>
      <c r="B105" t="s">
        <v>96</v>
      </c>
      <c r="C105" s="4">
        <v>864199</v>
      </c>
      <c r="D105" s="4">
        <v>484563</v>
      </c>
      <c r="E105" s="4">
        <v>1731960</v>
      </c>
      <c r="F105" s="4">
        <v>113009</v>
      </c>
      <c r="G105" s="4">
        <v>72604</v>
      </c>
      <c r="H105" s="4">
        <v>14333</v>
      </c>
      <c r="I105" s="4">
        <v>76972</v>
      </c>
      <c r="J105">
        <v>83.1</v>
      </c>
      <c r="K105" s="4">
        <v>7449.9913793103451</v>
      </c>
      <c r="L105" s="6">
        <v>2.0041217358501919</v>
      </c>
      <c r="M105" s="8">
        <v>0.21919443867063904</v>
      </c>
    </row>
    <row r="106" spans="1:13" x14ac:dyDescent="0.2">
      <c r="A106" s="5">
        <v>45901</v>
      </c>
      <c r="B106" t="s">
        <v>96</v>
      </c>
      <c r="C106" s="4">
        <v>913061</v>
      </c>
      <c r="D106" s="4">
        <v>364112</v>
      </c>
      <c r="E106" s="4">
        <v>1761821</v>
      </c>
      <c r="F106" s="4">
        <v>130138</v>
      </c>
      <c r="G106" s="4">
        <v>116615</v>
      </c>
      <c r="H106" s="4">
        <v>23454</v>
      </c>
      <c r="I106" s="4">
        <v>73594</v>
      </c>
      <c r="J106">
        <v>85.6</v>
      </c>
      <c r="K106" s="4">
        <v>7737.8050847457625</v>
      </c>
      <c r="L106" s="6">
        <v>1.9295764466996181</v>
      </c>
      <c r="M106" s="8">
        <v>0.31158046135220319</v>
      </c>
    </row>
    <row r="107" spans="1:13" x14ac:dyDescent="0.2">
      <c r="A107" s="5">
        <v>45931</v>
      </c>
      <c r="B107" t="s">
        <v>96</v>
      </c>
      <c r="C107" s="4">
        <v>971905</v>
      </c>
      <c r="D107" s="4">
        <v>439923</v>
      </c>
      <c r="E107" s="4">
        <v>1761821</v>
      </c>
      <c r="F107" s="4">
        <v>86023</v>
      </c>
      <c r="G107" s="4">
        <v>50845</v>
      </c>
      <c r="H107" s="4">
        <v>6145</v>
      </c>
      <c r="I107" s="4">
        <v>47963</v>
      </c>
      <c r="J107">
        <v>82.6</v>
      </c>
      <c r="K107" s="4">
        <v>8236.483050847457</v>
      </c>
      <c r="L107" s="6">
        <v>1.8127502173566346</v>
      </c>
      <c r="M107" s="8">
        <v>0.30195008459996786</v>
      </c>
    </row>
    <row r="108" spans="1:13" x14ac:dyDescent="0.2">
      <c r="A108" s="5">
        <v>45962</v>
      </c>
      <c r="B108" t="s">
        <v>96</v>
      </c>
      <c r="C108" s="4">
        <v>948754</v>
      </c>
      <c r="D108" s="4">
        <v>494438</v>
      </c>
      <c r="E108" s="4">
        <v>1761821</v>
      </c>
      <c r="F108" s="4">
        <v>80114</v>
      </c>
      <c r="G108" s="4">
        <v>101587</v>
      </c>
      <c r="H108" s="4">
        <v>5044</v>
      </c>
      <c r="I108" s="4">
        <v>37520</v>
      </c>
      <c r="J108">
        <v>80.8</v>
      </c>
      <c r="K108" s="4">
        <v>8040.2881355932204</v>
      </c>
      <c r="L108" s="6">
        <v>1.8569840021754849</v>
      </c>
      <c r="M108" s="8">
        <v>0.25786728617719962</v>
      </c>
    </row>
    <row r="109" spans="1:13" x14ac:dyDescent="0.2">
      <c r="A109" s="5">
        <v>45992</v>
      </c>
      <c r="B109" t="s">
        <v>96</v>
      </c>
      <c r="C109" s="4">
        <v>947509</v>
      </c>
      <c r="D109" s="4">
        <v>455208</v>
      </c>
      <c r="E109" s="4">
        <v>1746890</v>
      </c>
      <c r="F109" s="4">
        <v>119359</v>
      </c>
      <c r="G109" s="4">
        <v>47242</v>
      </c>
      <c r="H109" s="4">
        <v>0</v>
      </c>
      <c r="I109" s="4">
        <v>67166</v>
      </c>
      <c r="J109">
        <v>78.5</v>
      </c>
      <c r="K109" s="4">
        <v>8098.3675213675215</v>
      </c>
      <c r="L109" s="6">
        <v>1.8436658649152673</v>
      </c>
      <c r="M109" s="8">
        <v>0.28181568387248196</v>
      </c>
    </row>
    <row r="110" spans="1:13" x14ac:dyDescent="0.2">
      <c r="A110" s="5">
        <v>45658</v>
      </c>
      <c r="B110" t="s">
        <v>143</v>
      </c>
      <c r="C110" s="4">
        <v>700094</v>
      </c>
      <c r="D110" s="4">
        <v>277159</v>
      </c>
      <c r="E110" s="4">
        <v>1286227</v>
      </c>
      <c r="F110" s="4">
        <v>83743</v>
      </c>
      <c r="G110" s="4">
        <v>46326</v>
      </c>
      <c r="H110" s="4">
        <v>22641</v>
      </c>
      <c r="I110" s="4">
        <v>93821</v>
      </c>
      <c r="J110">
        <v>74.7</v>
      </c>
      <c r="K110" s="4">
        <v>8751.1749999999993</v>
      </c>
      <c r="L110" s="6">
        <v>1.8372204303993465</v>
      </c>
      <c r="M110" s="8">
        <v>0.32881831900589864</v>
      </c>
    </row>
    <row r="111" spans="1:13" x14ac:dyDescent="0.2">
      <c r="A111" s="5">
        <v>45689</v>
      </c>
      <c r="B111" t="s">
        <v>143</v>
      </c>
      <c r="C111" s="4">
        <v>778662</v>
      </c>
      <c r="D111" s="4">
        <v>371748</v>
      </c>
      <c r="E111" s="4">
        <v>1286227</v>
      </c>
      <c r="F111" s="4">
        <v>78921</v>
      </c>
      <c r="G111" s="4">
        <v>53351</v>
      </c>
      <c r="H111" s="4">
        <v>0</v>
      </c>
      <c r="I111" s="4">
        <v>64796</v>
      </c>
      <c r="J111">
        <v>83.1</v>
      </c>
      <c r="K111" s="4">
        <v>9733.2749999999996</v>
      </c>
      <c r="L111" s="6">
        <v>1.6518425196041415</v>
      </c>
      <c r="M111" s="8">
        <v>0.31636250832862317</v>
      </c>
    </row>
    <row r="112" spans="1:13" x14ac:dyDescent="0.2">
      <c r="A112" s="5">
        <v>45717</v>
      </c>
      <c r="B112" t="s">
        <v>143</v>
      </c>
      <c r="C112" s="4">
        <v>757555</v>
      </c>
      <c r="D112" s="4">
        <v>300690</v>
      </c>
      <c r="E112" s="4">
        <v>1254071</v>
      </c>
      <c r="F112" s="4">
        <v>80372</v>
      </c>
      <c r="G112" s="4">
        <v>37073</v>
      </c>
      <c r="H112" s="4">
        <v>7593</v>
      </c>
      <c r="I112" s="4">
        <v>64749</v>
      </c>
      <c r="J112">
        <v>81.2</v>
      </c>
      <c r="K112" s="4">
        <v>9712.2435897435898</v>
      </c>
      <c r="L112" s="6">
        <v>1.6554190784827505</v>
      </c>
      <c r="M112" s="8">
        <v>0.3643055297507079</v>
      </c>
    </row>
    <row r="113" spans="1:13" x14ac:dyDescent="0.2">
      <c r="A113" s="5">
        <v>45748</v>
      </c>
      <c r="B113" t="s">
        <v>143</v>
      </c>
      <c r="C113" s="4">
        <v>743467</v>
      </c>
      <c r="D113" s="4">
        <v>315636</v>
      </c>
      <c r="E113" s="4">
        <v>1254071</v>
      </c>
      <c r="F113" s="4">
        <v>73434</v>
      </c>
      <c r="G113" s="4">
        <v>51138</v>
      </c>
      <c r="H113" s="4">
        <v>5252</v>
      </c>
      <c r="I113" s="4">
        <v>110745</v>
      </c>
      <c r="J113">
        <v>79.5</v>
      </c>
      <c r="K113" s="4">
        <v>9531.6282051282051</v>
      </c>
      <c r="L113" s="6">
        <v>1.6867877121647632</v>
      </c>
      <c r="M113" s="8">
        <v>0.34115373053040854</v>
      </c>
    </row>
    <row r="114" spans="1:13" x14ac:dyDescent="0.2">
      <c r="A114" s="5">
        <v>45778</v>
      </c>
      <c r="B114" t="s">
        <v>143</v>
      </c>
      <c r="C114" s="4">
        <v>670973</v>
      </c>
      <c r="D114" s="4">
        <v>334147</v>
      </c>
      <c r="E114" s="4">
        <v>1237993</v>
      </c>
      <c r="F114" s="4">
        <v>80229</v>
      </c>
      <c r="G114" s="4">
        <v>49709</v>
      </c>
      <c r="H114" s="4">
        <v>17362</v>
      </c>
      <c r="I114" s="4">
        <v>83594</v>
      </c>
      <c r="J114">
        <v>81.5</v>
      </c>
      <c r="K114" s="4">
        <v>8713.9350649350654</v>
      </c>
      <c r="L114" s="6">
        <v>1.8450712621819358</v>
      </c>
      <c r="M114" s="8">
        <v>0.27207423628405009</v>
      </c>
    </row>
    <row r="115" spans="1:13" x14ac:dyDescent="0.2">
      <c r="A115" s="5">
        <v>45809</v>
      </c>
      <c r="B115" t="s">
        <v>143</v>
      </c>
      <c r="C115" s="4">
        <v>730868</v>
      </c>
      <c r="D115" s="4">
        <v>408014</v>
      </c>
      <c r="E115" s="4">
        <v>1221915</v>
      </c>
      <c r="F115" s="4">
        <v>72300</v>
      </c>
      <c r="G115" s="4">
        <v>61179</v>
      </c>
      <c r="H115" s="4">
        <v>0</v>
      </c>
      <c r="I115" s="4">
        <v>49669</v>
      </c>
      <c r="J115">
        <v>92.1</v>
      </c>
      <c r="K115" s="4">
        <v>9616.6842105263149</v>
      </c>
      <c r="L115" s="6">
        <v>1.6718682443341342</v>
      </c>
      <c r="M115" s="8">
        <v>0.26421968794883444</v>
      </c>
    </row>
    <row r="116" spans="1:13" x14ac:dyDescent="0.2">
      <c r="A116" s="5">
        <v>45839</v>
      </c>
      <c r="B116" t="s">
        <v>143</v>
      </c>
      <c r="C116" s="4">
        <v>686669</v>
      </c>
      <c r="D116" s="4">
        <v>279951</v>
      </c>
      <c r="E116" s="4">
        <v>1221915</v>
      </c>
      <c r="F116" s="4">
        <v>62613</v>
      </c>
      <c r="G116" s="4">
        <v>45990</v>
      </c>
      <c r="H116" s="4">
        <v>14189</v>
      </c>
      <c r="I116" s="4">
        <v>56195</v>
      </c>
      <c r="J116">
        <v>83.2</v>
      </c>
      <c r="K116" s="4">
        <v>9035.1184210526317</v>
      </c>
      <c r="L116" s="6">
        <v>1.7794818172947957</v>
      </c>
      <c r="M116" s="8">
        <v>0.33285293985260839</v>
      </c>
    </row>
    <row r="117" spans="1:13" x14ac:dyDescent="0.2">
      <c r="A117" s="5">
        <v>45870</v>
      </c>
      <c r="B117" t="s">
        <v>143</v>
      </c>
      <c r="C117" s="4">
        <v>665557</v>
      </c>
      <c r="D117" s="4">
        <v>306956</v>
      </c>
      <c r="E117" s="4">
        <v>1221915</v>
      </c>
      <c r="F117" s="4">
        <v>70965</v>
      </c>
      <c r="G117" s="4">
        <v>33991</v>
      </c>
      <c r="H117" s="4">
        <v>4835</v>
      </c>
      <c r="I117" s="4">
        <v>66826</v>
      </c>
      <c r="J117">
        <v>82.4</v>
      </c>
      <c r="K117" s="4">
        <v>8757.3289473684217</v>
      </c>
      <c r="L117" s="6">
        <v>1.8359284028265048</v>
      </c>
      <c r="M117" s="8">
        <v>0.29347458702119217</v>
      </c>
    </row>
    <row r="118" spans="1:13" x14ac:dyDescent="0.2">
      <c r="A118" s="5">
        <v>45901</v>
      </c>
      <c r="B118" t="s">
        <v>143</v>
      </c>
      <c r="C118" s="4">
        <v>703077</v>
      </c>
      <c r="D118" s="4">
        <v>305490</v>
      </c>
      <c r="E118" s="4">
        <v>1237993</v>
      </c>
      <c r="F118" s="4">
        <v>82777</v>
      </c>
      <c r="G118" s="4">
        <v>28463</v>
      </c>
      <c r="H118" s="4">
        <v>21319</v>
      </c>
      <c r="I118" s="4">
        <v>25276</v>
      </c>
      <c r="J118">
        <v>87.2</v>
      </c>
      <c r="K118" s="4">
        <v>9130.8701298701308</v>
      </c>
      <c r="L118" s="6">
        <v>1.7608213609604637</v>
      </c>
      <c r="M118" s="8">
        <v>0.32115448148737513</v>
      </c>
    </row>
    <row r="119" spans="1:13" x14ac:dyDescent="0.2">
      <c r="A119" s="5">
        <v>45931</v>
      </c>
      <c r="B119" t="s">
        <v>143</v>
      </c>
      <c r="C119" s="4">
        <v>650774</v>
      </c>
      <c r="D119" s="4">
        <v>297580</v>
      </c>
      <c r="E119" s="4">
        <v>1237993</v>
      </c>
      <c r="F119" s="4">
        <v>74943</v>
      </c>
      <c r="G119" s="4">
        <v>31268</v>
      </c>
      <c r="H119" s="4">
        <v>0</v>
      </c>
      <c r="I119" s="4">
        <v>106569</v>
      </c>
      <c r="J119">
        <v>84.6</v>
      </c>
      <c r="K119" s="4">
        <v>8451.6103896103905</v>
      </c>
      <c r="L119" s="6">
        <v>1.9023393681984837</v>
      </c>
      <c r="M119" s="8">
        <v>0.28529563575884515</v>
      </c>
    </row>
    <row r="120" spans="1:13" x14ac:dyDescent="0.2">
      <c r="A120" s="5">
        <v>45962</v>
      </c>
      <c r="B120" t="s">
        <v>143</v>
      </c>
      <c r="C120" s="4">
        <v>620472</v>
      </c>
      <c r="D120" s="4">
        <v>317895</v>
      </c>
      <c r="E120" s="4">
        <v>1221915</v>
      </c>
      <c r="F120" s="4">
        <v>83954</v>
      </c>
      <c r="G120" s="4">
        <v>48820</v>
      </c>
      <c r="H120" s="4">
        <v>11890</v>
      </c>
      <c r="I120" s="4">
        <v>96078</v>
      </c>
      <c r="J120">
        <v>77.400000000000006</v>
      </c>
      <c r="K120" s="4">
        <v>8164.105263157895</v>
      </c>
      <c r="L120" s="6">
        <v>1.9693314122152168</v>
      </c>
      <c r="M120" s="8">
        <v>0.24762524398178271</v>
      </c>
    </row>
    <row r="121" spans="1:13" x14ac:dyDescent="0.2">
      <c r="A121" s="5">
        <v>45992</v>
      </c>
      <c r="B121" t="s">
        <v>143</v>
      </c>
      <c r="C121" s="4">
        <v>658043</v>
      </c>
      <c r="D121" s="4">
        <v>348425</v>
      </c>
      <c r="E121" s="4">
        <v>1221915</v>
      </c>
      <c r="F121" s="4">
        <v>57367</v>
      </c>
      <c r="G121" s="4">
        <v>37131</v>
      </c>
      <c r="H121" s="4">
        <v>14897</v>
      </c>
      <c r="I121" s="4">
        <v>74100</v>
      </c>
      <c r="J121">
        <v>81.5</v>
      </c>
      <c r="K121" s="4">
        <v>8658.46052631579</v>
      </c>
      <c r="L121" s="6">
        <v>1.8568923307443435</v>
      </c>
      <c r="M121" s="8">
        <v>0.25338751058788866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21"/>
  <sheetViews>
    <sheetView zoomScaleNormal="60" zoomScaleSheetLayoutView="100" workbookViewId="0"/>
  </sheetViews>
  <sheetFormatPr defaultRowHeight="15" x14ac:dyDescent="0.2"/>
  <cols>
    <col min="1" max="26" width="16.0078125" customWidth="1"/>
  </cols>
  <sheetData>
    <row r="1" spans="1:26" ht="27.75" x14ac:dyDescent="0.2">
      <c r="A1" s="1" t="s">
        <v>1759</v>
      </c>
      <c r="B1" s="1" t="s">
        <v>35</v>
      </c>
      <c r="C1" s="1" t="s">
        <v>1787</v>
      </c>
      <c r="D1" s="1" t="s">
        <v>1788</v>
      </c>
      <c r="E1" s="1" t="s">
        <v>1789</v>
      </c>
      <c r="F1" s="1" t="s">
        <v>1790</v>
      </c>
      <c r="G1" s="1" t="s">
        <v>1791</v>
      </c>
      <c r="H1" s="1" t="s">
        <v>1792</v>
      </c>
      <c r="I1" s="1" t="s">
        <v>1793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5">
        <v>45658</v>
      </c>
      <c r="B2" t="s">
        <v>89</v>
      </c>
      <c r="C2" s="6">
        <v>0.63085829926945569</v>
      </c>
      <c r="D2">
        <v>7</v>
      </c>
      <c r="E2">
        <v>63</v>
      </c>
      <c r="F2">
        <v>67</v>
      </c>
      <c r="G2">
        <v>79</v>
      </c>
      <c r="H2">
        <v>12529</v>
      </c>
      <c r="I2">
        <v>3.9</v>
      </c>
    </row>
    <row r="3" spans="1:26" x14ac:dyDescent="0.2">
      <c r="A3" s="5">
        <v>45689</v>
      </c>
      <c r="B3" t="s">
        <v>89</v>
      </c>
      <c r="C3" s="6">
        <v>0.68120293737205173</v>
      </c>
      <c r="D3">
        <v>41</v>
      </c>
      <c r="E3">
        <v>64</v>
      </c>
      <c r="F3">
        <v>58</v>
      </c>
      <c r="G3">
        <v>72</v>
      </c>
      <c r="H3">
        <v>60716</v>
      </c>
      <c r="I3">
        <v>4.0999999999999996</v>
      </c>
    </row>
    <row r="4" spans="1:26" x14ac:dyDescent="0.2">
      <c r="A4" s="5">
        <v>45717</v>
      </c>
      <c r="B4" t="s">
        <v>89</v>
      </c>
      <c r="C4" s="6">
        <v>0.66939214803729996</v>
      </c>
      <c r="D4">
        <v>40</v>
      </c>
      <c r="E4">
        <v>55</v>
      </c>
      <c r="F4">
        <v>39</v>
      </c>
      <c r="G4">
        <v>64</v>
      </c>
      <c r="H4">
        <v>13210</v>
      </c>
      <c r="I4">
        <v>4.0999999999999996</v>
      </c>
    </row>
    <row r="5" spans="1:26" x14ac:dyDescent="0.2">
      <c r="A5" s="5">
        <v>45748</v>
      </c>
      <c r="B5" t="s">
        <v>89</v>
      </c>
      <c r="C5" s="6">
        <v>0.70066510442184393</v>
      </c>
      <c r="D5">
        <v>40</v>
      </c>
      <c r="E5">
        <v>67</v>
      </c>
      <c r="F5">
        <v>65</v>
      </c>
      <c r="G5">
        <v>73</v>
      </c>
      <c r="H5">
        <v>17710</v>
      </c>
      <c r="I5">
        <v>3.5</v>
      </c>
    </row>
    <row r="6" spans="1:26" x14ac:dyDescent="0.2">
      <c r="A6" s="5">
        <v>45778</v>
      </c>
      <c r="B6" t="s">
        <v>89</v>
      </c>
      <c r="C6" s="6">
        <v>0.77373536986796199</v>
      </c>
      <c r="D6">
        <v>38</v>
      </c>
      <c r="E6">
        <v>71</v>
      </c>
      <c r="F6">
        <v>68</v>
      </c>
      <c r="G6">
        <v>77</v>
      </c>
      <c r="H6">
        <v>45663</v>
      </c>
      <c r="I6">
        <v>3.6</v>
      </c>
    </row>
    <row r="7" spans="1:26" x14ac:dyDescent="0.2">
      <c r="A7" s="5">
        <v>45809</v>
      </c>
      <c r="B7" t="s">
        <v>89</v>
      </c>
      <c r="C7" s="6">
        <v>0.77812405151669239</v>
      </c>
      <c r="D7">
        <v>30</v>
      </c>
      <c r="E7">
        <v>68</v>
      </c>
      <c r="F7">
        <v>72</v>
      </c>
      <c r="G7">
        <v>69</v>
      </c>
      <c r="H7">
        <v>26936</v>
      </c>
      <c r="I7">
        <v>4</v>
      </c>
    </row>
    <row r="8" spans="1:26" x14ac:dyDescent="0.2">
      <c r="A8" s="5">
        <v>45839</v>
      </c>
      <c r="B8" t="s">
        <v>89</v>
      </c>
      <c r="C8" s="6">
        <v>0.64044386981564094</v>
      </c>
      <c r="D8">
        <v>40</v>
      </c>
      <c r="E8">
        <v>64</v>
      </c>
      <c r="F8">
        <v>58</v>
      </c>
      <c r="G8">
        <v>73</v>
      </c>
      <c r="H8">
        <v>34476</v>
      </c>
      <c r="I8">
        <v>3.5</v>
      </c>
    </row>
    <row r="9" spans="1:26" x14ac:dyDescent="0.2">
      <c r="A9" s="5">
        <v>45870</v>
      </c>
      <c r="B9" t="s">
        <v>89</v>
      </c>
      <c r="C9" s="6">
        <v>0.71898993404975109</v>
      </c>
      <c r="D9">
        <v>25</v>
      </c>
      <c r="E9">
        <v>65</v>
      </c>
      <c r="F9">
        <v>64</v>
      </c>
      <c r="G9">
        <v>73</v>
      </c>
      <c r="H9">
        <v>54594</v>
      </c>
      <c r="I9">
        <v>3.8</v>
      </c>
    </row>
    <row r="10" spans="1:26" x14ac:dyDescent="0.2">
      <c r="A10" s="5">
        <v>45901</v>
      </c>
      <c r="B10" t="s">
        <v>89</v>
      </c>
      <c r="C10" s="6">
        <v>0.85102144190546536</v>
      </c>
      <c r="D10">
        <v>50</v>
      </c>
      <c r="E10">
        <v>71</v>
      </c>
      <c r="F10">
        <v>70</v>
      </c>
      <c r="G10">
        <v>64</v>
      </c>
      <c r="H10">
        <v>30734</v>
      </c>
      <c r="I10">
        <v>3.8</v>
      </c>
    </row>
    <row r="11" spans="1:26" x14ac:dyDescent="0.2">
      <c r="A11" s="5">
        <v>45931</v>
      </c>
      <c r="B11" t="s">
        <v>89</v>
      </c>
      <c r="C11" s="6">
        <v>0.60780316596014872</v>
      </c>
      <c r="D11">
        <v>31</v>
      </c>
      <c r="E11">
        <v>57</v>
      </c>
      <c r="F11">
        <v>50</v>
      </c>
      <c r="G11">
        <v>68</v>
      </c>
      <c r="H11">
        <v>53368</v>
      </c>
      <c r="I11">
        <v>3.7</v>
      </c>
    </row>
    <row r="12" spans="1:26" x14ac:dyDescent="0.2">
      <c r="A12" s="5">
        <v>45962</v>
      </c>
      <c r="B12" t="s">
        <v>89</v>
      </c>
      <c r="C12" s="6">
        <v>0.64270645495001277</v>
      </c>
      <c r="D12">
        <v>29</v>
      </c>
      <c r="E12">
        <v>62</v>
      </c>
      <c r="F12">
        <v>58</v>
      </c>
      <c r="G12">
        <v>72</v>
      </c>
      <c r="H12">
        <v>60655</v>
      </c>
      <c r="I12">
        <v>3.9</v>
      </c>
    </row>
    <row r="13" spans="1:26" x14ac:dyDescent="0.2">
      <c r="A13" s="5">
        <v>45992</v>
      </c>
      <c r="B13" t="s">
        <v>89</v>
      </c>
      <c r="C13" s="6">
        <v>0.63268997725153309</v>
      </c>
      <c r="D13">
        <v>31</v>
      </c>
      <c r="E13">
        <v>66</v>
      </c>
      <c r="F13">
        <v>64</v>
      </c>
      <c r="G13">
        <v>78</v>
      </c>
      <c r="H13">
        <v>56859</v>
      </c>
      <c r="I13">
        <v>3.9</v>
      </c>
    </row>
    <row r="14" spans="1:26" x14ac:dyDescent="0.2">
      <c r="A14" s="5">
        <v>45658</v>
      </c>
      <c r="B14" t="s">
        <v>102</v>
      </c>
      <c r="C14" s="6">
        <v>0.61540208067510394</v>
      </c>
      <c r="D14">
        <v>30</v>
      </c>
      <c r="E14">
        <v>64</v>
      </c>
      <c r="F14">
        <v>70</v>
      </c>
      <c r="G14">
        <v>66</v>
      </c>
      <c r="H14">
        <v>50215</v>
      </c>
      <c r="I14">
        <v>3.9</v>
      </c>
    </row>
    <row r="15" spans="1:26" x14ac:dyDescent="0.2">
      <c r="A15" s="5">
        <v>45689</v>
      </c>
      <c r="B15" t="s">
        <v>102</v>
      </c>
      <c r="C15" s="6">
        <v>0.71775921284849198</v>
      </c>
      <c r="D15">
        <v>21</v>
      </c>
      <c r="E15">
        <v>64</v>
      </c>
      <c r="F15">
        <v>67</v>
      </c>
      <c r="G15">
        <v>70</v>
      </c>
      <c r="H15">
        <v>40837</v>
      </c>
      <c r="I15">
        <v>4.0999999999999996</v>
      </c>
    </row>
    <row r="16" spans="1:26" x14ac:dyDescent="0.2">
      <c r="A16" s="5">
        <v>45717</v>
      </c>
      <c r="B16" t="s">
        <v>102</v>
      </c>
      <c r="C16" s="6">
        <v>0.63562000344708536</v>
      </c>
      <c r="D16">
        <v>28</v>
      </c>
      <c r="E16">
        <v>63</v>
      </c>
      <c r="F16">
        <v>65</v>
      </c>
      <c r="G16">
        <v>71</v>
      </c>
      <c r="H16">
        <v>12868</v>
      </c>
      <c r="I16">
        <v>3.9</v>
      </c>
    </row>
    <row r="17" spans="1:9" x14ac:dyDescent="0.2">
      <c r="A17" s="5">
        <v>45748</v>
      </c>
      <c r="B17" t="s">
        <v>102</v>
      </c>
      <c r="C17" s="6">
        <v>0.91415022302533866</v>
      </c>
      <c r="D17">
        <v>66</v>
      </c>
      <c r="E17">
        <v>76</v>
      </c>
      <c r="F17">
        <v>66</v>
      </c>
      <c r="G17">
        <v>75</v>
      </c>
      <c r="H17">
        <v>58213</v>
      </c>
      <c r="I17">
        <v>4.2</v>
      </c>
    </row>
    <row r="18" spans="1:9" x14ac:dyDescent="0.2">
      <c r="A18" s="5">
        <v>45778</v>
      </c>
      <c r="B18" t="s">
        <v>102</v>
      </c>
      <c r="C18" s="6">
        <v>0.45</v>
      </c>
      <c r="D18">
        <v>23</v>
      </c>
      <c r="E18">
        <v>51</v>
      </c>
      <c r="F18">
        <v>43</v>
      </c>
      <c r="G18">
        <v>71</v>
      </c>
      <c r="H18">
        <v>15048</v>
      </c>
      <c r="I18">
        <v>3.3</v>
      </c>
    </row>
    <row r="19" spans="1:9" x14ac:dyDescent="0.2">
      <c r="A19" s="5">
        <v>45809</v>
      </c>
      <c r="B19" t="s">
        <v>102</v>
      </c>
      <c r="C19" s="6">
        <v>0.86242607021464357</v>
      </c>
      <c r="D19">
        <v>45</v>
      </c>
      <c r="E19">
        <v>78</v>
      </c>
      <c r="F19">
        <v>73</v>
      </c>
      <c r="G19">
        <v>87</v>
      </c>
      <c r="H19">
        <v>21501</v>
      </c>
      <c r="I19">
        <v>4.0999999999999996</v>
      </c>
    </row>
    <row r="20" spans="1:9" x14ac:dyDescent="0.2">
      <c r="A20" s="5">
        <v>45839</v>
      </c>
      <c r="B20" t="s">
        <v>102</v>
      </c>
      <c r="C20" s="6">
        <v>0.80891901320898596</v>
      </c>
      <c r="D20">
        <v>56</v>
      </c>
      <c r="E20">
        <v>70</v>
      </c>
      <c r="F20">
        <v>60</v>
      </c>
      <c r="G20">
        <v>73</v>
      </c>
      <c r="H20">
        <v>46952</v>
      </c>
      <c r="I20">
        <v>4.0999999999999996</v>
      </c>
    </row>
    <row r="21" spans="1:9" x14ac:dyDescent="0.2">
      <c r="A21" s="5">
        <v>45870</v>
      </c>
      <c r="B21" t="s">
        <v>102</v>
      </c>
      <c r="C21" s="6">
        <v>0.72662792329522063</v>
      </c>
      <c r="D21">
        <v>38</v>
      </c>
      <c r="E21">
        <v>75</v>
      </c>
      <c r="F21">
        <v>83</v>
      </c>
      <c r="G21">
        <v>76</v>
      </c>
      <c r="H21">
        <v>22762</v>
      </c>
      <c r="I21">
        <v>3.9</v>
      </c>
    </row>
    <row r="22" spans="1:9" x14ac:dyDescent="0.2">
      <c r="A22" s="5">
        <v>45901</v>
      </c>
      <c r="B22" t="s">
        <v>102</v>
      </c>
      <c r="C22" s="6">
        <v>0.64883837389326082</v>
      </c>
      <c r="D22">
        <v>38</v>
      </c>
      <c r="E22">
        <v>65</v>
      </c>
      <c r="F22">
        <v>66</v>
      </c>
      <c r="G22">
        <v>68</v>
      </c>
      <c r="H22">
        <v>45698</v>
      </c>
      <c r="I22">
        <v>3.6</v>
      </c>
    </row>
    <row r="23" spans="1:9" x14ac:dyDescent="0.2">
      <c r="A23" s="5">
        <v>45931</v>
      </c>
      <c r="B23" t="s">
        <v>102</v>
      </c>
      <c r="C23" s="6">
        <v>0.7373133587012406</v>
      </c>
      <c r="D23">
        <v>17</v>
      </c>
      <c r="E23">
        <v>62</v>
      </c>
      <c r="F23">
        <v>50</v>
      </c>
      <c r="G23">
        <v>82</v>
      </c>
      <c r="H23">
        <v>46578</v>
      </c>
      <c r="I23">
        <v>3.9</v>
      </c>
    </row>
    <row r="24" spans="1:9" x14ac:dyDescent="0.2">
      <c r="A24" s="5">
        <v>45962</v>
      </c>
      <c r="B24" t="s">
        <v>102</v>
      </c>
      <c r="C24" s="6">
        <v>0.59241221174325287</v>
      </c>
      <c r="D24">
        <v>16</v>
      </c>
      <c r="E24">
        <v>60</v>
      </c>
      <c r="F24">
        <v>68</v>
      </c>
      <c r="G24">
        <v>64</v>
      </c>
      <c r="H24">
        <v>11758</v>
      </c>
      <c r="I24">
        <v>3.7</v>
      </c>
    </row>
    <row r="25" spans="1:9" x14ac:dyDescent="0.2">
      <c r="A25" s="5">
        <v>45992</v>
      </c>
      <c r="B25" t="s">
        <v>102</v>
      </c>
      <c r="C25" s="6">
        <v>0.64440184350068819</v>
      </c>
      <c r="D25">
        <v>20</v>
      </c>
      <c r="E25">
        <v>63</v>
      </c>
      <c r="F25">
        <v>72</v>
      </c>
      <c r="G25">
        <v>65</v>
      </c>
      <c r="H25">
        <v>19697</v>
      </c>
      <c r="I25">
        <v>3.5</v>
      </c>
    </row>
    <row r="26" spans="1:9" x14ac:dyDescent="0.2">
      <c r="A26" s="5">
        <v>45658</v>
      </c>
      <c r="B26" t="s">
        <v>74</v>
      </c>
      <c r="C26" s="6">
        <v>0.77002899809686864</v>
      </c>
      <c r="D26">
        <v>36</v>
      </c>
      <c r="E26">
        <v>69</v>
      </c>
      <c r="F26">
        <v>70</v>
      </c>
      <c r="G26">
        <v>72</v>
      </c>
      <c r="H26">
        <v>10615</v>
      </c>
      <c r="I26">
        <v>3.9</v>
      </c>
    </row>
    <row r="27" spans="1:9" x14ac:dyDescent="0.2">
      <c r="A27" s="5">
        <v>45689</v>
      </c>
      <c r="B27" t="s">
        <v>74</v>
      </c>
      <c r="C27" s="6">
        <v>0.77280612899222034</v>
      </c>
      <c r="D27">
        <v>43</v>
      </c>
      <c r="E27">
        <v>65</v>
      </c>
      <c r="F27">
        <v>57</v>
      </c>
      <c r="G27">
        <v>70</v>
      </c>
      <c r="H27">
        <v>12053</v>
      </c>
      <c r="I27">
        <v>3.7</v>
      </c>
    </row>
    <row r="28" spans="1:9" x14ac:dyDescent="0.2">
      <c r="A28" s="5">
        <v>45717</v>
      </c>
      <c r="B28" t="s">
        <v>74</v>
      </c>
      <c r="C28" s="6">
        <v>0.75334766710519785</v>
      </c>
      <c r="D28">
        <v>25</v>
      </c>
      <c r="E28">
        <v>63</v>
      </c>
      <c r="F28">
        <v>61</v>
      </c>
      <c r="G28">
        <v>67</v>
      </c>
      <c r="H28">
        <v>26697</v>
      </c>
      <c r="I28">
        <v>3.7</v>
      </c>
    </row>
    <row r="29" spans="1:9" x14ac:dyDescent="0.2">
      <c r="A29" s="5">
        <v>45748</v>
      </c>
      <c r="B29" t="s">
        <v>74</v>
      </c>
      <c r="C29" s="6">
        <v>0.68185765214994942</v>
      </c>
      <c r="D29">
        <v>21</v>
      </c>
      <c r="E29">
        <v>64</v>
      </c>
      <c r="F29">
        <v>72</v>
      </c>
      <c r="G29">
        <v>66</v>
      </c>
      <c r="H29">
        <v>25481</v>
      </c>
      <c r="I29">
        <v>3.8</v>
      </c>
    </row>
    <row r="30" spans="1:9" x14ac:dyDescent="0.2">
      <c r="A30" s="5">
        <v>45778</v>
      </c>
      <c r="B30" t="s">
        <v>74</v>
      </c>
      <c r="C30" s="6">
        <v>0.67693465018631049</v>
      </c>
      <c r="D30">
        <v>33</v>
      </c>
      <c r="E30">
        <v>62</v>
      </c>
      <c r="F30">
        <v>62</v>
      </c>
      <c r="G30">
        <v>63</v>
      </c>
      <c r="H30">
        <v>27243</v>
      </c>
      <c r="I30">
        <v>3.6</v>
      </c>
    </row>
    <row r="31" spans="1:9" x14ac:dyDescent="0.2">
      <c r="A31" s="5">
        <v>45809</v>
      </c>
      <c r="B31" t="s">
        <v>74</v>
      </c>
      <c r="C31" s="6">
        <v>0.78429995108071138</v>
      </c>
      <c r="D31">
        <v>43</v>
      </c>
      <c r="E31">
        <v>71</v>
      </c>
      <c r="F31">
        <v>74</v>
      </c>
      <c r="G31">
        <v>69</v>
      </c>
      <c r="H31">
        <v>5099</v>
      </c>
      <c r="I31">
        <v>3.5</v>
      </c>
    </row>
    <row r="32" spans="1:9" x14ac:dyDescent="0.2">
      <c r="A32" s="5">
        <v>45839</v>
      </c>
      <c r="B32" t="s">
        <v>74</v>
      </c>
      <c r="C32" s="6">
        <v>0.7964667518609817</v>
      </c>
      <c r="D32">
        <v>27</v>
      </c>
      <c r="E32">
        <v>66</v>
      </c>
      <c r="F32">
        <v>68</v>
      </c>
      <c r="G32">
        <v>66</v>
      </c>
      <c r="H32">
        <v>24825</v>
      </c>
      <c r="I32">
        <v>3.8</v>
      </c>
    </row>
    <row r="33" spans="1:9" x14ac:dyDescent="0.2">
      <c r="A33" s="5">
        <v>45870</v>
      </c>
      <c r="B33" t="s">
        <v>74</v>
      </c>
      <c r="C33" s="6">
        <v>0.73536190438227944</v>
      </c>
      <c r="D33">
        <v>30</v>
      </c>
      <c r="E33">
        <v>61</v>
      </c>
      <c r="F33">
        <v>54</v>
      </c>
      <c r="G33">
        <v>68</v>
      </c>
      <c r="H33">
        <v>20528</v>
      </c>
      <c r="I33">
        <v>3.8</v>
      </c>
    </row>
    <row r="34" spans="1:9" x14ac:dyDescent="0.2">
      <c r="A34" s="5">
        <v>45901</v>
      </c>
      <c r="B34" t="s">
        <v>74</v>
      </c>
      <c r="C34" s="6">
        <v>0.60843813085872944</v>
      </c>
      <c r="D34">
        <v>23</v>
      </c>
      <c r="E34">
        <v>58</v>
      </c>
      <c r="F34">
        <v>58</v>
      </c>
      <c r="G34">
        <v>64</v>
      </c>
      <c r="H34">
        <v>24838</v>
      </c>
      <c r="I34">
        <v>3.2</v>
      </c>
    </row>
    <row r="35" spans="1:9" x14ac:dyDescent="0.2">
      <c r="A35" s="5">
        <v>45931</v>
      </c>
      <c r="B35" t="s">
        <v>74</v>
      </c>
      <c r="C35" s="6">
        <v>0.76265189763991637</v>
      </c>
      <c r="D35">
        <v>23</v>
      </c>
      <c r="E35">
        <v>61</v>
      </c>
      <c r="F35">
        <v>55</v>
      </c>
      <c r="G35">
        <v>69</v>
      </c>
      <c r="H35">
        <v>24476</v>
      </c>
      <c r="I35">
        <v>3.8</v>
      </c>
    </row>
    <row r="36" spans="1:9" x14ac:dyDescent="0.2">
      <c r="A36" s="5">
        <v>45962</v>
      </c>
      <c r="B36" t="s">
        <v>74</v>
      </c>
      <c r="C36" s="6">
        <v>0.75453517325304564</v>
      </c>
      <c r="D36">
        <v>35</v>
      </c>
      <c r="E36">
        <v>66</v>
      </c>
      <c r="F36">
        <v>63</v>
      </c>
      <c r="G36">
        <v>72</v>
      </c>
      <c r="H36">
        <v>33351</v>
      </c>
      <c r="I36">
        <v>4</v>
      </c>
    </row>
    <row r="37" spans="1:9" x14ac:dyDescent="0.2">
      <c r="A37" s="5">
        <v>45992</v>
      </c>
      <c r="B37" t="s">
        <v>74</v>
      </c>
      <c r="C37" s="6">
        <v>0.8081477321584033</v>
      </c>
      <c r="D37">
        <v>21</v>
      </c>
      <c r="E37">
        <v>65</v>
      </c>
      <c r="F37">
        <v>66</v>
      </c>
      <c r="G37">
        <v>67</v>
      </c>
      <c r="H37">
        <v>24352</v>
      </c>
      <c r="I37">
        <v>3.5</v>
      </c>
    </row>
    <row r="38" spans="1:9" x14ac:dyDescent="0.2">
      <c r="A38" s="5">
        <v>45658</v>
      </c>
      <c r="B38" t="s">
        <v>108</v>
      </c>
      <c r="C38" s="6">
        <v>0.76782326130661305</v>
      </c>
      <c r="D38">
        <v>23</v>
      </c>
      <c r="E38">
        <v>57</v>
      </c>
      <c r="F38">
        <v>41</v>
      </c>
      <c r="G38">
        <v>71</v>
      </c>
      <c r="H38">
        <v>19020</v>
      </c>
      <c r="I38">
        <v>3.7</v>
      </c>
    </row>
    <row r="39" spans="1:9" x14ac:dyDescent="0.2">
      <c r="A39" s="5">
        <v>45689</v>
      </c>
      <c r="B39" t="s">
        <v>108</v>
      </c>
      <c r="C39" s="6">
        <v>0.77333694660157737</v>
      </c>
      <c r="D39">
        <v>50</v>
      </c>
      <c r="E39">
        <v>72</v>
      </c>
      <c r="F39">
        <v>73</v>
      </c>
      <c r="G39">
        <v>69</v>
      </c>
      <c r="H39">
        <v>10803</v>
      </c>
      <c r="I39">
        <v>3.8</v>
      </c>
    </row>
    <row r="40" spans="1:9" x14ac:dyDescent="0.2">
      <c r="A40" s="5">
        <v>45717</v>
      </c>
      <c r="B40" t="s">
        <v>108</v>
      </c>
      <c r="C40" s="6">
        <v>0.65857458560480597</v>
      </c>
      <c r="D40">
        <v>21</v>
      </c>
      <c r="E40">
        <v>61</v>
      </c>
      <c r="F40">
        <v>67</v>
      </c>
      <c r="G40">
        <v>63</v>
      </c>
      <c r="H40">
        <v>26082</v>
      </c>
      <c r="I40">
        <v>3.6</v>
      </c>
    </row>
    <row r="41" spans="1:9" x14ac:dyDescent="0.2">
      <c r="A41" s="5">
        <v>45748</v>
      </c>
      <c r="B41" t="s">
        <v>108</v>
      </c>
      <c r="C41" s="6">
        <v>0.73337982328175666</v>
      </c>
      <c r="D41">
        <v>40</v>
      </c>
      <c r="E41">
        <v>69</v>
      </c>
      <c r="F41">
        <v>70</v>
      </c>
      <c r="G41">
        <v>72</v>
      </c>
      <c r="H41">
        <v>38075</v>
      </c>
      <c r="I41">
        <v>4.0999999999999996</v>
      </c>
    </row>
    <row r="42" spans="1:9" x14ac:dyDescent="0.2">
      <c r="A42" s="5">
        <v>45778</v>
      </c>
      <c r="B42" t="s">
        <v>108</v>
      </c>
      <c r="C42" s="6">
        <v>0.92027892765328967</v>
      </c>
      <c r="D42">
        <v>47</v>
      </c>
      <c r="E42">
        <v>75</v>
      </c>
      <c r="F42">
        <v>71</v>
      </c>
      <c r="G42">
        <v>74</v>
      </c>
      <c r="H42">
        <v>29273</v>
      </c>
      <c r="I42">
        <v>4.3</v>
      </c>
    </row>
    <row r="43" spans="1:9" x14ac:dyDescent="0.2">
      <c r="A43" s="5">
        <v>45809</v>
      </c>
      <c r="B43" t="s">
        <v>108</v>
      </c>
      <c r="C43" s="6">
        <v>0.62175919565204785</v>
      </c>
      <c r="D43">
        <v>23</v>
      </c>
      <c r="E43">
        <v>61</v>
      </c>
      <c r="F43">
        <v>64</v>
      </c>
      <c r="G43">
        <v>69</v>
      </c>
      <c r="H43">
        <v>31834</v>
      </c>
      <c r="I43">
        <v>3.5</v>
      </c>
    </row>
    <row r="44" spans="1:9" x14ac:dyDescent="0.2">
      <c r="A44" s="5">
        <v>45839</v>
      </c>
      <c r="B44" t="s">
        <v>108</v>
      </c>
      <c r="C44" s="6">
        <v>0.66445384015281483</v>
      </c>
      <c r="D44">
        <v>35</v>
      </c>
      <c r="E44">
        <v>62</v>
      </c>
      <c r="F44">
        <v>61</v>
      </c>
      <c r="G44">
        <v>66</v>
      </c>
      <c r="H44">
        <v>38002</v>
      </c>
      <c r="I44">
        <v>3.6</v>
      </c>
    </row>
    <row r="45" spans="1:9" x14ac:dyDescent="0.2">
      <c r="A45" s="5">
        <v>45870</v>
      </c>
      <c r="B45" t="s">
        <v>108</v>
      </c>
      <c r="C45" s="6">
        <v>0.71357306569123269</v>
      </c>
      <c r="D45">
        <v>30</v>
      </c>
      <c r="E45">
        <v>64</v>
      </c>
      <c r="F45">
        <v>62</v>
      </c>
      <c r="G45">
        <v>71</v>
      </c>
      <c r="H45">
        <v>22276</v>
      </c>
      <c r="I45">
        <v>3.8</v>
      </c>
    </row>
    <row r="46" spans="1:9" x14ac:dyDescent="0.2">
      <c r="A46" s="5">
        <v>45901</v>
      </c>
      <c r="B46" t="s">
        <v>108</v>
      </c>
      <c r="C46" s="6">
        <v>0.65852960704515962</v>
      </c>
      <c r="D46">
        <v>37</v>
      </c>
      <c r="E46">
        <v>69</v>
      </c>
      <c r="F46">
        <v>76</v>
      </c>
      <c r="G46">
        <v>71</v>
      </c>
      <c r="H46">
        <v>23024</v>
      </c>
      <c r="I46">
        <v>4.2</v>
      </c>
    </row>
    <row r="47" spans="1:9" x14ac:dyDescent="0.2">
      <c r="A47" s="5">
        <v>45931</v>
      </c>
      <c r="B47" t="s">
        <v>108</v>
      </c>
      <c r="C47" s="6">
        <v>0.84832622980198991</v>
      </c>
      <c r="D47">
        <v>40</v>
      </c>
      <c r="E47">
        <v>70</v>
      </c>
      <c r="F47">
        <v>70</v>
      </c>
      <c r="G47">
        <v>66</v>
      </c>
      <c r="H47">
        <v>30711</v>
      </c>
      <c r="I47">
        <v>4.2</v>
      </c>
    </row>
    <row r="48" spans="1:9" x14ac:dyDescent="0.2">
      <c r="A48" s="5">
        <v>45962</v>
      </c>
      <c r="B48" t="s">
        <v>108</v>
      </c>
      <c r="C48" s="6">
        <v>0.7175748944047744</v>
      </c>
      <c r="D48">
        <v>19</v>
      </c>
      <c r="E48">
        <v>67</v>
      </c>
      <c r="F48">
        <v>71</v>
      </c>
      <c r="G48">
        <v>74</v>
      </c>
      <c r="H48">
        <v>12305</v>
      </c>
      <c r="I48">
        <v>3.9</v>
      </c>
    </row>
    <row r="49" spans="1:9" x14ac:dyDescent="0.2">
      <c r="A49" s="5">
        <v>45992</v>
      </c>
      <c r="B49" t="s">
        <v>108</v>
      </c>
      <c r="C49" s="6">
        <v>0.71416340038526815</v>
      </c>
      <c r="D49">
        <v>36</v>
      </c>
      <c r="E49">
        <v>78</v>
      </c>
      <c r="F49">
        <v>92</v>
      </c>
      <c r="G49">
        <v>80</v>
      </c>
      <c r="H49">
        <v>14812</v>
      </c>
      <c r="I49">
        <v>4</v>
      </c>
    </row>
    <row r="50" spans="1:9" x14ac:dyDescent="0.2">
      <c r="A50" s="5">
        <v>45658</v>
      </c>
      <c r="B50" t="s">
        <v>12</v>
      </c>
      <c r="C50" s="6">
        <v>0.73174030794639056</v>
      </c>
      <c r="D50">
        <v>34</v>
      </c>
      <c r="E50">
        <v>63</v>
      </c>
      <c r="F50">
        <v>58</v>
      </c>
      <c r="G50">
        <v>67</v>
      </c>
      <c r="H50">
        <v>17164</v>
      </c>
      <c r="I50">
        <v>4</v>
      </c>
    </row>
    <row r="51" spans="1:9" x14ac:dyDescent="0.2">
      <c r="A51" s="5">
        <v>45689</v>
      </c>
      <c r="B51" t="s">
        <v>12</v>
      </c>
      <c r="C51" s="6">
        <v>0.85105052583456131</v>
      </c>
      <c r="D51">
        <v>49</v>
      </c>
      <c r="E51">
        <v>73</v>
      </c>
      <c r="F51">
        <v>79</v>
      </c>
      <c r="G51">
        <v>60</v>
      </c>
      <c r="H51">
        <v>14271</v>
      </c>
      <c r="I51">
        <v>4.0999999999999996</v>
      </c>
    </row>
    <row r="52" spans="1:9" x14ac:dyDescent="0.2">
      <c r="A52" s="5">
        <v>45717</v>
      </c>
      <c r="B52" t="s">
        <v>12</v>
      </c>
      <c r="C52" s="6">
        <v>0.63624566950414962</v>
      </c>
      <c r="D52">
        <v>10</v>
      </c>
      <c r="E52">
        <v>65</v>
      </c>
      <c r="F52">
        <v>76</v>
      </c>
      <c r="G52">
        <v>73</v>
      </c>
      <c r="H52">
        <v>14947</v>
      </c>
      <c r="I52">
        <v>4</v>
      </c>
    </row>
    <row r="53" spans="1:9" x14ac:dyDescent="0.2">
      <c r="A53" s="5">
        <v>45748</v>
      </c>
      <c r="B53" t="s">
        <v>12</v>
      </c>
      <c r="C53" s="6">
        <v>0.92075704092074306</v>
      </c>
      <c r="D53">
        <v>44</v>
      </c>
      <c r="E53">
        <v>69</v>
      </c>
      <c r="F53">
        <v>63</v>
      </c>
      <c r="G53">
        <v>66</v>
      </c>
      <c r="H53">
        <v>6117</v>
      </c>
      <c r="I53">
        <v>3.9</v>
      </c>
    </row>
    <row r="54" spans="1:9" x14ac:dyDescent="0.2">
      <c r="A54" s="5">
        <v>45778</v>
      </c>
      <c r="B54" t="s">
        <v>12</v>
      </c>
      <c r="C54" s="6">
        <v>0.4928640663110741</v>
      </c>
      <c r="D54">
        <v>34</v>
      </c>
      <c r="E54">
        <v>59</v>
      </c>
      <c r="F54">
        <v>58</v>
      </c>
      <c r="G54">
        <v>70</v>
      </c>
      <c r="H54">
        <v>21563</v>
      </c>
      <c r="I54">
        <v>3.4</v>
      </c>
    </row>
    <row r="55" spans="1:9" x14ac:dyDescent="0.2">
      <c r="A55" s="5">
        <v>45809</v>
      </c>
      <c r="B55" t="s">
        <v>12</v>
      </c>
      <c r="C55" s="6">
        <v>0.77185818493280323</v>
      </c>
      <c r="D55">
        <v>58</v>
      </c>
      <c r="E55">
        <v>75</v>
      </c>
      <c r="F55">
        <v>77</v>
      </c>
      <c r="G55">
        <v>73</v>
      </c>
      <c r="H55">
        <v>18711</v>
      </c>
      <c r="I55">
        <v>3.7</v>
      </c>
    </row>
    <row r="56" spans="1:9" x14ac:dyDescent="0.2">
      <c r="A56" s="5">
        <v>45839</v>
      </c>
      <c r="B56" t="s">
        <v>12</v>
      </c>
      <c r="C56" s="6">
        <v>0.74236807195204368</v>
      </c>
      <c r="D56">
        <v>33</v>
      </c>
      <c r="E56">
        <v>60</v>
      </c>
      <c r="F56">
        <v>53</v>
      </c>
      <c r="G56">
        <v>65</v>
      </c>
      <c r="H56">
        <v>9624</v>
      </c>
      <c r="I56">
        <v>3.8</v>
      </c>
    </row>
    <row r="57" spans="1:9" x14ac:dyDescent="0.2">
      <c r="A57" s="5">
        <v>45870</v>
      </c>
      <c r="B57" t="s">
        <v>12</v>
      </c>
      <c r="C57" s="6">
        <v>0.78579541108689355</v>
      </c>
      <c r="D57">
        <v>41</v>
      </c>
      <c r="E57">
        <v>66</v>
      </c>
      <c r="F57">
        <v>68</v>
      </c>
      <c r="G57">
        <v>61</v>
      </c>
      <c r="H57">
        <v>22705</v>
      </c>
      <c r="I57">
        <v>3.8</v>
      </c>
    </row>
    <row r="58" spans="1:9" x14ac:dyDescent="0.2">
      <c r="A58" s="5">
        <v>45901</v>
      </c>
      <c r="B58" t="s">
        <v>12</v>
      </c>
      <c r="C58" s="6">
        <v>0.65329749440532514</v>
      </c>
      <c r="D58">
        <v>54</v>
      </c>
      <c r="E58">
        <v>70</v>
      </c>
      <c r="F58">
        <v>70</v>
      </c>
      <c r="G58">
        <v>72</v>
      </c>
      <c r="H58">
        <v>7489</v>
      </c>
      <c r="I58">
        <v>4</v>
      </c>
    </row>
    <row r="59" spans="1:9" x14ac:dyDescent="0.2">
      <c r="A59" s="5">
        <v>45931</v>
      </c>
      <c r="B59" t="s">
        <v>12</v>
      </c>
      <c r="C59" s="6">
        <v>0.75277422403147431</v>
      </c>
      <c r="D59">
        <v>34</v>
      </c>
      <c r="E59">
        <v>59</v>
      </c>
      <c r="F59">
        <v>51</v>
      </c>
      <c r="G59">
        <v>61</v>
      </c>
      <c r="H59">
        <v>15349</v>
      </c>
      <c r="I59">
        <v>3.8</v>
      </c>
    </row>
    <row r="60" spans="1:9" x14ac:dyDescent="0.2">
      <c r="A60" s="5">
        <v>45962</v>
      </c>
      <c r="B60" t="s">
        <v>12</v>
      </c>
      <c r="C60" s="6">
        <v>0.77770050312108985</v>
      </c>
      <c r="D60">
        <v>41</v>
      </c>
      <c r="E60">
        <v>70</v>
      </c>
      <c r="F60">
        <v>73</v>
      </c>
      <c r="G60">
        <v>66</v>
      </c>
      <c r="H60">
        <v>9820</v>
      </c>
      <c r="I60">
        <v>4.2</v>
      </c>
    </row>
    <row r="61" spans="1:9" x14ac:dyDescent="0.2">
      <c r="A61" s="5">
        <v>45992</v>
      </c>
      <c r="B61" t="s">
        <v>12</v>
      </c>
      <c r="C61" s="6">
        <v>0.68503334890662138</v>
      </c>
      <c r="D61">
        <v>29</v>
      </c>
      <c r="E61">
        <v>59</v>
      </c>
      <c r="F61">
        <v>57</v>
      </c>
      <c r="G61">
        <v>60</v>
      </c>
      <c r="H61">
        <v>14715</v>
      </c>
      <c r="I61">
        <v>3.8</v>
      </c>
    </row>
    <row r="62" spans="1:9" x14ac:dyDescent="0.2">
      <c r="A62" s="5">
        <v>45658</v>
      </c>
      <c r="B62" t="s">
        <v>124</v>
      </c>
      <c r="C62" s="6">
        <v>0.75954968497055775</v>
      </c>
      <c r="D62">
        <v>47</v>
      </c>
      <c r="E62">
        <v>61</v>
      </c>
      <c r="F62">
        <v>51</v>
      </c>
      <c r="G62">
        <v>63</v>
      </c>
      <c r="H62">
        <v>15530</v>
      </c>
      <c r="I62">
        <v>3.5</v>
      </c>
    </row>
    <row r="63" spans="1:9" x14ac:dyDescent="0.2">
      <c r="A63" s="5">
        <v>45689</v>
      </c>
      <c r="B63" t="s">
        <v>124</v>
      </c>
      <c r="C63" s="6">
        <v>0.76757161830498832</v>
      </c>
      <c r="D63">
        <v>30</v>
      </c>
      <c r="E63">
        <v>60</v>
      </c>
      <c r="F63">
        <v>54</v>
      </c>
      <c r="G63">
        <v>63</v>
      </c>
      <c r="H63">
        <v>12470</v>
      </c>
      <c r="I63">
        <v>3.6</v>
      </c>
    </row>
    <row r="64" spans="1:9" x14ac:dyDescent="0.2">
      <c r="A64" s="5">
        <v>45717</v>
      </c>
      <c r="B64" t="s">
        <v>124</v>
      </c>
      <c r="C64" s="6">
        <v>0.6859566436022565</v>
      </c>
      <c r="D64">
        <v>33</v>
      </c>
      <c r="E64">
        <v>66</v>
      </c>
      <c r="F64">
        <v>68</v>
      </c>
      <c r="G64">
        <v>70</v>
      </c>
      <c r="H64">
        <v>11481</v>
      </c>
      <c r="I64">
        <v>3.7</v>
      </c>
    </row>
    <row r="65" spans="1:9" x14ac:dyDescent="0.2">
      <c r="A65" s="5">
        <v>45748</v>
      </c>
      <c r="B65" t="s">
        <v>124</v>
      </c>
      <c r="C65" s="6">
        <v>0.67245996956533449</v>
      </c>
      <c r="D65">
        <v>24</v>
      </c>
      <c r="E65">
        <v>61</v>
      </c>
      <c r="F65">
        <v>68</v>
      </c>
      <c r="G65">
        <v>60</v>
      </c>
      <c r="H65">
        <v>25931</v>
      </c>
      <c r="I65">
        <v>4</v>
      </c>
    </row>
    <row r="66" spans="1:9" x14ac:dyDescent="0.2">
      <c r="A66" s="5">
        <v>45778</v>
      </c>
      <c r="B66" t="s">
        <v>124</v>
      </c>
      <c r="C66" s="6">
        <v>0.72583468840912313</v>
      </c>
      <c r="D66">
        <v>27</v>
      </c>
      <c r="E66">
        <v>68</v>
      </c>
      <c r="F66">
        <v>78</v>
      </c>
      <c r="G66">
        <v>64</v>
      </c>
      <c r="H66">
        <v>28579</v>
      </c>
      <c r="I66">
        <v>3.5</v>
      </c>
    </row>
    <row r="67" spans="1:9" x14ac:dyDescent="0.2">
      <c r="A67" s="5">
        <v>45809</v>
      </c>
      <c r="B67" t="s">
        <v>124</v>
      </c>
      <c r="C67" s="6">
        <v>0.84034756716869818</v>
      </c>
      <c r="D67">
        <v>41</v>
      </c>
      <c r="E67">
        <v>75</v>
      </c>
      <c r="F67">
        <v>81</v>
      </c>
      <c r="G67">
        <v>70</v>
      </c>
      <c r="H67">
        <v>15826</v>
      </c>
      <c r="I67">
        <v>4.2</v>
      </c>
    </row>
    <row r="68" spans="1:9" x14ac:dyDescent="0.2">
      <c r="A68" s="5">
        <v>45839</v>
      </c>
      <c r="B68" t="s">
        <v>124</v>
      </c>
      <c r="C68" s="6">
        <v>0.64067943320281806</v>
      </c>
      <c r="D68">
        <v>38</v>
      </c>
      <c r="E68">
        <v>66</v>
      </c>
      <c r="F68">
        <v>69</v>
      </c>
      <c r="G68">
        <v>70</v>
      </c>
      <c r="H68">
        <v>8421</v>
      </c>
      <c r="I68">
        <v>3.7</v>
      </c>
    </row>
    <row r="69" spans="1:9" x14ac:dyDescent="0.2">
      <c r="A69" s="5">
        <v>45870</v>
      </c>
      <c r="B69" t="s">
        <v>124</v>
      </c>
      <c r="C69" s="6">
        <v>0.71180469277190783</v>
      </c>
      <c r="D69">
        <v>18</v>
      </c>
      <c r="E69">
        <v>64</v>
      </c>
      <c r="F69">
        <v>67</v>
      </c>
      <c r="G69">
        <v>72</v>
      </c>
      <c r="H69">
        <v>15670</v>
      </c>
      <c r="I69">
        <v>3.9</v>
      </c>
    </row>
    <row r="70" spans="1:9" x14ac:dyDescent="0.2">
      <c r="A70" s="5">
        <v>45901</v>
      </c>
      <c r="B70" t="s">
        <v>124</v>
      </c>
      <c r="C70" s="6">
        <v>0.71955843429029909</v>
      </c>
      <c r="D70">
        <v>34</v>
      </c>
      <c r="E70">
        <v>69</v>
      </c>
      <c r="F70">
        <v>79</v>
      </c>
      <c r="G70">
        <v>66</v>
      </c>
      <c r="H70">
        <v>16220</v>
      </c>
      <c r="I70">
        <v>3.8</v>
      </c>
    </row>
    <row r="71" spans="1:9" x14ac:dyDescent="0.2">
      <c r="A71" s="5">
        <v>45931</v>
      </c>
      <c r="B71" t="s">
        <v>124</v>
      </c>
      <c r="C71" s="6">
        <v>0.74936388369318563</v>
      </c>
      <c r="D71">
        <v>40</v>
      </c>
      <c r="E71">
        <v>75</v>
      </c>
      <c r="F71">
        <v>82</v>
      </c>
      <c r="G71">
        <v>77</v>
      </c>
      <c r="H71">
        <v>23996</v>
      </c>
      <c r="I71">
        <v>4.2</v>
      </c>
    </row>
    <row r="72" spans="1:9" x14ac:dyDescent="0.2">
      <c r="A72" s="5">
        <v>45962</v>
      </c>
      <c r="B72" t="s">
        <v>124</v>
      </c>
      <c r="C72" s="6">
        <v>0.6682270678456953</v>
      </c>
      <c r="D72">
        <v>32</v>
      </c>
      <c r="E72">
        <v>70</v>
      </c>
      <c r="F72">
        <v>83</v>
      </c>
      <c r="G72">
        <v>66</v>
      </c>
      <c r="H72">
        <v>23880</v>
      </c>
      <c r="I72">
        <v>3.8</v>
      </c>
    </row>
    <row r="73" spans="1:9" x14ac:dyDescent="0.2">
      <c r="A73" s="5">
        <v>45992</v>
      </c>
      <c r="B73" t="s">
        <v>124</v>
      </c>
      <c r="C73" s="6">
        <v>0.61377876696345524</v>
      </c>
      <c r="D73">
        <v>17</v>
      </c>
      <c r="E73">
        <v>57</v>
      </c>
      <c r="F73">
        <v>58</v>
      </c>
      <c r="G73">
        <v>66</v>
      </c>
      <c r="H73">
        <v>14225</v>
      </c>
      <c r="I73">
        <v>3.6</v>
      </c>
    </row>
    <row r="74" spans="1:9" x14ac:dyDescent="0.2">
      <c r="A74" s="5">
        <v>45658</v>
      </c>
      <c r="B74" t="s">
        <v>133</v>
      </c>
      <c r="C74" s="6">
        <v>0.62916990613977963</v>
      </c>
      <c r="D74">
        <v>25</v>
      </c>
      <c r="E74">
        <v>64</v>
      </c>
      <c r="F74">
        <v>57</v>
      </c>
      <c r="G74">
        <v>83</v>
      </c>
      <c r="H74">
        <v>51004</v>
      </c>
      <c r="I74">
        <v>3.9</v>
      </c>
    </row>
    <row r="75" spans="1:9" x14ac:dyDescent="0.2">
      <c r="A75" s="5">
        <v>45689</v>
      </c>
      <c r="B75" t="s">
        <v>133</v>
      </c>
      <c r="C75" s="6">
        <v>0.66816200276289095</v>
      </c>
      <c r="D75">
        <v>39</v>
      </c>
      <c r="E75">
        <v>59</v>
      </c>
      <c r="F75">
        <v>46</v>
      </c>
      <c r="G75">
        <v>72</v>
      </c>
      <c r="H75">
        <v>29454</v>
      </c>
      <c r="I75">
        <v>3.8</v>
      </c>
    </row>
    <row r="76" spans="1:9" x14ac:dyDescent="0.2">
      <c r="A76" s="5">
        <v>45717</v>
      </c>
      <c r="B76" t="s">
        <v>133</v>
      </c>
      <c r="C76" s="6">
        <v>0.79436680541623428</v>
      </c>
      <c r="D76">
        <v>42</v>
      </c>
      <c r="E76">
        <v>74</v>
      </c>
      <c r="F76">
        <v>75</v>
      </c>
      <c r="G76">
        <v>77</v>
      </c>
      <c r="H76">
        <v>47068</v>
      </c>
      <c r="I76">
        <v>4.0999999999999996</v>
      </c>
    </row>
    <row r="77" spans="1:9" x14ac:dyDescent="0.2">
      <c r="A77" s="5">
        <v>45748</v>
      </c>
      <c r="B77" t="s">
        <v>133</v>
      </c>
      <c r="C77" s="6">
        <v>0.71771957512705453</v>
      </c>
      <c r="D77">
        <v>31</v>
      </c>
      <c r="E77">
        <v>65</v>
      </c>
      <c r="F77">
        <v>63</v>
      </c>
      <c r="G77">
        <v>71</v>
      </c>
      <c r="H77">
        <v>15993</v>
      </c>
      <c r="I77">
        <v>3.9</v>
      </c>
    </row>
    <row r="78" spans="1:9" x14ac:dyDescent="0.2">
      <c r="A78" s="5">
        <v>45778</v>
      </c>
      <c r="B78" t="s">
        <v>133</v>
      </c>
      <c r="C78" s="6">
        <v>0.81554172944904402</v>
      </c>
      <c r="D78">
        <v>24</v>
      </c>
      <c r="E78">
        <v>67</v>
      </c>
      <c r="F78">
        <v>69</v>
      </c>
      <c r="G78">
        <v>67</v>
      </c>
      <c r="H78">
        <v>46989</v>
      </c>
      <c r="I78">
        <v>3.9</v>
      </c>
    </row>
    <row r="79" spans="1:9" x14ac:dyDescent="0.2">
      <c r="A79" s="5">
        <v>45809</v>
      </c>
      <c r="B79" t="s">
        <v>133</v>
      </c>
      <c r="C79" s="6">
        <v>0.72637892751011934</v>
      </c>
      <c r="D79">
        <v>30</v>
      </c>
      <c r="E79">
        <v>66</v>
      </c>
      <c r="F79">
        <v>64</v>
      </c>
      <c r="G79">
        <v>73</v>
      </c>
      <c r="H79">
        <v>38335</v>
      </c>
      <c r="I79">
        <v>3.6</v>
      </c>
    </row>
    <row r="80" spans="1:9" x14ac:dyDescent="0.2">
      <c r="A80" s="5">
        <v>45839</v>
      </c>
      <c r="B80" t="s">
        <v>133</v>
      </c>
      <c r="C80" s="6">
        <v>0.69465941474670434</v>
      </c>
      <c r="D80">
        <v>33</v>
      </c>
      <c r="E80">
        <v>62</v>
      </c>
      <c r="F80">
        <v>46</v>
      </c>
      <c r="G80">
        <v>83</v>
      </c>
      <c r="H80">
        <v>14320</v>
      </c>
      <c r="I80">
        <v>3.4</v>
      </c>
    </row>
    <row r="81" spans="1:9" x14ac:dyDescent="0.2">
      <c r="A81" s="5">
        <v>45870</v>
      </c>
      <c r="B81" t="s">
        <v>133</v>
      </c>
      <c r="C81" s="6">
        <v>0.81640393159816782</v>
      </c>
      <c r="D81">
        <v>45</v>
      </c>
      <c r="E81">
        <v>69</v>
      </c>
      <c r="F81">
        <v>63</v>
      </c>
      <c r="G81">
        <v>70</v>
      </c>
      <c r="H81">
        <v>13309</v>
      </c>
      <c r="I81">
        <v>4.0999999999999996</v>
      </c>
    </row>
    <row r="82" spans="1:9" x14ac:dyDescent="0.2">
      <c r="A82" s="5">
        <v>45901</v>
      </c>
      <c r="B82" t="s">
        <v>133</v>
      </c>
      <c r="C82" s="6">
        <v>0.69630098046698008</v>
      </c>
      <c r="D82">
        <v>17</v>
      </c>
      <c r="E82">
        <v>62</v>
      </c>
      <c r="F82">
        <v>61</v>
      </c>
      <c r="G82">
        <v>72</v>
      </c>
      <c r="H82">
        <v>26980</v>
      </c>
      <c r="I82">
        <v>3.9</v>
      </c>
    </row>
    <row r="83" spans="1:9" x14ac:dyDescent="0.2">
      <c r="A83" s="5">
        <v>45931</v>
      </c>
      <c r="B83" t="s">
        <v>133</v>
      </c>
      <c r="C83" s="6">
        <v>0.67065408597182363</v>
      </c>
      <c r="D83">
        <v>16</v>
      </c>
      <c r="E83">
        <v>51</v>
      </c>
      <c r="F83">
        <v>35</v>
      </c>
      <c r="G83">
        <v>69</v>
      </c>
      <c r="H83">
        <v>13900</v>
      </c>
      <c r="I83">
        <v>4</v>
      </c>
    </row>
    <row r="84" spans="1:9" x14ac:dyDescent="0.2">
      <c r="A84" s="5">
        <v>45962</v>
      </c>
      <c r="B84" t="s">
        <v>133</v>
      </c>
      <c r="C84" s="6">
        <v>0.78464784241963292</v>
      </c>
      <c r="D84">
        <v>54</v>
      </c>
      <c r="E84">
        <v>78</v>
      </c>
      <c r="F84">
        <v>80</v>
      </c>
      <c r="G84">
        <v>78</v>
      </c>
      <c r="H84">
        <v>47604</v>
      </c>
      <c r="I84">
        <v>4</v>
      </c>
    </row>
    <row r="85" spans="1:9" x14ac:dyDescent="0.2">
      <c r="A85" s="5">
        <v>45992</v>
      </c>
      <c r="B85" t="s">
        <v>133</v>
      </c>
      <c r="C85" s="6">
        <v>0.77364269470889158</v>
      </c>
      <c r="D85">
        <v>35</v>
      </c>
      <c r="E85">
        <v>76</v>
      </c>
      <c r="F85">
        <v>80</v>
      </c>
      <c r="G85">
        <v>81</v>
      </c>
      <c r="H85">
        <v>50187</v>
      </c>
      <c r="I85">
        <v>3.9</v>
      </c>
    </row>
    <row r="86" spans="1:9" x14ac:dyDescent="0.2">
      <c r="A86" s="5">
        <v>45658</v>
      </c>
      <c r="B86" t="s">
        <v>61</v>
      </c>
      <c r="C86" s="6">
        <v>0.6410070270381063</v>
      </c>
      <c r="D86">
        <v>19</v>
      </c>
      <c r="E86">
        <v>53</v>
      </c>
      <c r="F86">
        <v>51</v>
      </c>
      <c r="G86">
        <v>56</v>
      </c>
      <c r="H86">
        <v>6333</v>
      </c>
      <c r="I86">
        <v>3.3</v>
      </c>
    </row>
    <row r="87" spans="1:9" x14ac:dyDescent="0.2">
      <c r="A87" s="5">
        <v>45689</v>
      </c>
      <c r="B87" t="s">
        <v>61</v>
      </c>
      <c r="C87" s="6">
        <v>0.80083454546802868</v>
      </c>
      <c r="D87">
        <v>40</v>
      </c>
      <c r="E87">
        <v>66</v>
      </c>
      <c r="F87">
        <v>58</v>
      </c>
      <c r="G87">
        <v>72</v>
      </c>
      <c r="H87">
        <v>12625</v>
      </c>
      <c r="I87">
        <v>3.7</v>
      </c>
    </row>
    <row r="88" spans="1:9" x14ac:dyDescent="0.2">
      <c r="A88" s="5">
        <v>45717</v>
      </c>
      <c r="B88" t="s">
        <v>61</v>
      </c>
      <c r="C88" s="6">
        <v>0.78047906870796757</v>
      </c>
      <c r="D88">
        <v>46</v>
      </c>
      <c r="E88">
        <v>76</v>
      </c>
      <c r="F88">
        <v>77</v>
      </c>
      <c r="G88">
        <v>79</v>
      </c>
      <c r="H88">
        <v>30509</v>
      </c>
      <c r="I88">
        <v>4.2</v>
      </c>
    </row>
    <row r="89" spans="1:9" x14ac:dyDescent="0.2">
      <c r="A89" s="5">
        <v>45748</v>
      </c>
      <c r="B89" t="s">
        <v>61</v>
      </c>
      <c r="C89" s="6">
        <v>0.86492651327241776</v>
      </c>
      <c r="D89">
        <v>56</v>
      </c>
      <c r="E89">
        <v>74</v>
      </c>
      <c r="F89">
        <v>65</v>
      </c>
      <c r="G89">
        <v>78</v>
      </c>
      <c r="H89">
        <v>9820</v>
      </c>
      <c r="I89">
        <v>3.5</v>
      </c>
    </row>
    <row r="90" spans="1:9" x14ac:dyDescent="0.2">
      <c r="A90" s="5">
        <v>45778</v>
      </c>
      <c r="B90" t="s">
        <v>61</v>
      </c>
      <c r="C90" s="6">
        <v>0.72457781058175952</v>
      </c>
      <c r="D90">
        <v>31</v>
      </c>
      <c r="E90">
        <v>65</v>
      </c>
      <c r="F90">
        <v>66</v>
      </c>
      <c r="G90">
        <v>67</v>
      </c>
      <c r="H90">
        <v>29592</v>
      </c>
      <c r="I90">
        <v>3.8</v>
      </c>
    </row>
    <row r="91" spans="1:9" x14ac:dyDescent="0.2">
      <c r="A91" s="5">
        <v>45809</v>
      </c>
      <c r="B91" t="s">
        <v>61</v>
      </c>
      <c r="C91" s="6">
        <v>0.6172785543254421</v>
      </c>
      <c r="D91">
        <v>32</v>
      </c>
      <c r="E91">
        <v>67</v>
      </c>
      <c r="F91">
        <v>78</v>
      </c>
      <c r="G91">
        <v>68</v>
      </c>
      <c r="H91">
        <v>29786</v>
      </c>
      <c r="I91">
        <v>3.9</v>
      </c>
    </row>
    <row r="92" spans="1:9" x14ac:dyDescent="0.2">
      <c r="A92" s="5">
        <v>45839</v>
      </c>
      <c r="B92" t="s">
        <v>61</v>
      </c>
      <c r="C92" s="6">
        <v>0.85074293108530652</v>
      </c>
      <c r="D92">
        <v>25</v>
      </c>
      <c r="E92">
        <v>70</v>
      </c>
      <c r="F92">
        <v>67</v>
      </c>
      <c r="G92">
        <v>77</v>
      </c>
      <c r="H92">
        <v>27508</v>
      </c>
      <c r="I92">
        <v>3.8</v>
      </c>
    </row>
    <row r="93" spans="1:9" x14ac:dyDescent="0.2">
      <c r="A93" s="5">
        <v>45870</v>
      </c>
      <c r="B93" t="s">
        <v>61</v>
      </c>
      <c r="C93" s="6">
        <v>0.71874149538545284</v>
      </c>
      <c r="D93">
        <v>25</v>
      </c>
      <c r="E93">
        <v>65</v>
      </c>
      <c r="F93">
        <v>70</v>
      </c>
      <c r="G93">
        <v>66</v>
      </c>
      <c r="H93">
        <v>32487</v>
      </c>
      <c r="I93">
        <v>3.9</v>
      </c>
    </row>
    <row r="94" spans="1:9" x14ac:dyDescent="0.2">
      <c r="A94" s="5">
        <v>45901</v>
      </c>
      <c r="B94" t="s">
        <v>61</v>
      </c>
      <c r="C94" s="6">
        <v>0.81748758051791948</v>
      </c>
      <c r="D94">
        <v>25</v>
      </c>
      <c r="E94">
        <v>58</v>
      </c>
      <c r="F94">
        <v>47</v>
      </c>
      <c r="G94">
        <v>64</v>
      </c>
      <c r="H94">
        <v>12508</v>
      </c>
      <c r="I94">
        <v>3.6</v>
      </c>
    </row>
    <row r="95" spans="1:9" x14ac:dyDescent="0.2">
      <c r="A95" s="5">
        <v>45931</v>
      </c>
      <c r="B95" t="s">
        <v>61</v>
      </c>
      <c r="C95" s="6">
        <v>0.79019858638333329</v>
      </c>
      <c r="D95">
        <v>37</v>
      </c>
      <c r="E95">
        <v>68</v>
      </c>
      <c r="F95">
        <v>69</v>
      </c>
      <c r="G95">
        <v>67</v>
      </c>
      <c r="H95">
        <v>28882</v>
      </c>
      <c r="I95">
        <v>3.9</v>
      </c>
    </row>
    <row r="96" spans="1:9" x14ac:dyDescent="0.2">
      <c r="A96" s="5">
        <v>45962</v>
      </c>
      <c r="B96" t="s">
        <v>61</v>
      </c>
      <c r="C96" s="6">
        <v>0.91555478048284422</v>
      </c>
      <c r="D96">
        <v>51</v>
      </c>
      <c r="E96">
        <v>75</v>
      </c>
      <c r="F96">
        <v>72</v>
      </c>
      <c r="G96">
        <v>72</v>
      </c>
      <c r="H96">
        <v>12363</v>
      </c>
      <c r="I96">
        <v>3.7</v>
      </c>
    </row>
    <row r="97" spans="1:9" x14ac:dyDescent="0.2">
      <c r="A97" s="5">
        <v>45992</v>
      </c>
      <c r="B97" t="s">
        <v>61</v>
      </c>
      <c r="C97" s="6">
        <v>0.68470875022293187</v>
      </c>
      <c r="D97">
        <v>31</v>
      </c>
      <c r="E97">
        <v>61</v>
      </c>
      <c r="F97">
        <v>59</v>
      </c>
      <c r="G97">
        <v>64</v>
      </c>
      <c r="H97">
        <v>10476</v>
      </c>
      <c r="I97">
        <v>3.7</v>
      </c>
    </row>
    <row r="98" spans="1:9" x14ac:dyDescent="0.2">
      <c r="A98" s="5">
        <v>45658</v>
      </c>
      <c r="B98" t="s">
        <v>96</v>
      </c>
      <c r="C98" s="6">
        <v>0.72986107857980931</v>
      </c>
      <c r="D98">
        <v>26</v>
      </c>
      <c r="E98">
        <v>62</v>
      </c>
      <c r="F98">
        <v>56</v>
      </c>
      <c r="G98">
        <v>71</v>
      </c>
      <c r="H98">
        <v>48105</v>
      </c>
      <c r="I98">
        <v>4</v>
      </c>
    </row>
    <row r="99" spans="1:9" x14ac:dyDescent="0.2">
      <c r="A99" s="5">
        <v>45689</v>
      </c>
      <c r="B99" t="s">
        <v>96</v>
      </c>
      <c r="C99" s="6">
        <v>0.8577141308448496</v>
      </c>
      <c r="D99">
        <v>56</v>
      </c>
      <c r="E99">
        <v>77</v>
      </c>
      <c r="F99">
        <v>83</v>
      </c>
      <c r="G99">
        <v>66</v>
      </c>
      <c r="H99">
        <v>24187</v>
      </c>
      <c r="I99">
        <v>3.8</v>
      </c>
    </row>
    <row r="100" spans="1:9" x14ac:dyDescent="0.2">
      <c r="A100" s="5">
        <v>45717</v>
      </c>
      <c r="B100" t="s">
        <v>96</v>
      </c>
      <c r="C100" s="6">
        <v>0.8445292020298264</v>
      </c>
      <c r="D100">
        <v>47</v>
      </c>
      <c r="E100">
        <v>79</v>
      </c>
      <c r="F100">
        <v>84</v>
      </c>
      <c r="G100">
        <v>77</v>
      </c>
      <c r="H100">
        <v>48415</v>
      </c>
      <c r="I100">
        <v>3.8</v>
      </c>
    </row>
    <row r="101" spans="1:9" x14ac:dyDescent="0.2">
      <c r="A101" s="5">
        <v>45748</v>
      </c>
      <c r="B101" t="s">
        <v>96</v>
      </c>
      <c r="C101" s="6">
        <v>0.75688387491906051</v>
      </c>
      <c r="D101">
        <v>37</v>
      </c>
      <c r="E101">
        <v>66</v>
      </c>
      <c r="F101">
        <v>54</v>
      </c>
      <c r="G101">
        <v>79</v>
      </c>
      <c r="H101">
        <v>38565</v>
      </c>
      <c r="I101">
        <v>3.5</v>
      </c>
    </row>
    <row r="102" spans="1:9" x14ac:dyDescent="0.2">
      <c r="A102" s="5">
        <v>45778</v>
      </c>
      <c r="B102" t="s">
        <v>96</v>
      </c>
      <c r="C102" s="6">
        <v>0.66630621916114263</v>
      </c>
      <c r="D102">
        <v>51</v>
      </c>
      <c r="E102">
        <v>65</v>
      </c>
      <c r="F102">
        <v>59</v>
      </c>
      <c r="G102">
        <v>71</v>
      </c>
      <c r="H102">
        <v>41457</v>
      </c>
      <c r="I102">
        <v>3.6</v>
      </c>
    </row>
    <row r="103" spans="1:9" x14ac:dyDescent="0.2">
      <c r="A103" s="5">
        <v>45809</v>
      </c>
      <c r="B103" t="s">
        <v>96</v>
      </c>
      <c r="C103" s="6">
        <v>0.78664875709430759</v>
      </c>
      <c r="D103">
        <v>40</v>
      </c>
      <c r="E103">
        <v>66</v>
      </c>
      <c r="F103">
        <v>61</v>
      </c>
      <c r="G103">
        <v>67</v>
      </c>
      <c r="H103">
        <v>13508</v>
      </c>
      <c r="I103">
        <v>3.8</v>
      </c>
    </row>
    <row r="104" spans="1:9" x14ac:dyDescent="0.2">
      <c r="A104" s="5">
        <v>45839</v>
      </c>
      <c r="B104" t="s">
        <v>96</v>
      </c>
      <c r="C104" s="6">
        <v>0.73771655900515043</v>
      </c>
      <c r="D104">
        <v>14</v>
      </c>
      <c r="E104">
        <v>68</v>
      </c>
      <c r="F104">
        <v>69</v>
      </c>
      <c r="G104">
        <v>80</v>
      </c>
      <c r="H104">
        <v>42926</v>
      </c>
      <c r="I104">
        <v>4</v>
      </c>
    </row>
    <row r="105" spans="1:9" x14ac:dyDescent="0.2">
      <c r="A105" s="5">
        <v>45870</v>
      </c>
      <c r="B105" t="s">
        <v>96</v>
      </c>
      <c r="C105" s="6">
        <v>0.78851219994460975</v>
      </c>
      <c r="D105">
        <v>4</v>
      </c>
      <c r="E105">
        <v>64</v>
      </c>
      <c r="F105">
        <v>62</v>
      </c>
      <c r="G105">
        <v>77</v>
      </c>
      <c r="H105">
        <v>25283</v>
      </c>
      <c r="I105">
        <v>3.8</v>
      </c>
    </row>
    <row r="106" spans="1:9" x14ac:dyDescent="0.2">
      <c r="A106" s="5">
        <v>45901</v>
      </c>
      <c r="B106" t="s">
        <v>96</v>
      </c>
      <c r="C106" s="6">
        <v>0.7812539962854691</v>
      </c>
      <c r="D106">
        <v>23</v>
      </c>
      <c r="E106">
        <v>65</v>
      </c>
      <c r="F106">
        <v>67</v>
      </c>
      <c r="G106">
        <v>66</v>
      </c>
      <c r="H106">
        <v>34242</v>
      </c>
      <c r="I106">
        <v>3.8</v>
      </c>
    </row>
    <row r="107" spans="1:9" x14ac:dyDescent="0.2">
      <c r="A107" s="5">
        <v>45931</v>
      </c>
      <c r="B107" t="s">
        <v>96</v>
      </c>
      <c r="C107" s="6">
        <v>0.72749920821364644</v>
      </c>
      <c r="D107">
        <v>42</v>
      </c>
      <c r="E107">
        <v>70</v>
      </c>
      <c r="F107">
        <v>76</v>
      </c>
      <c r="G107">
        <v>68</v>
      </c>
      <c r="H107">
        <v>31032</v>
      </c>
      <c r="I107">
        <v>3.5</v>
      </c>
    </row>
    <row r="108" spans="1:9" x14ac:dyDescent="0.2">
      <c r="A108" s="5">
        <v>45962</v>
      </c>
      <c r="B108" t="s">
        <v>96</v>
      </c>
      <c r="C108" s="6">
        <v>0.85211620587500858</v>
      </c>
      <c r="D108">
        <v>40</v>
      </c>
      <c r="E108">
        <v>66</v>
      </c>
      <c r="F108">
        <v>56</v>
      </c>
      <c r="G108">
        <v>68</v>
      </c>
      <c r="H108">
        <v>32269</v>
      </c>
      <c r="I108">
        <v>3.8</v>
      </c>
    </row>
    <row r="109" spans="1:9" x14ac:dyDescent="0.2">
      <c r="A109" s="5">
        <v>45992</v>
      </c>
      <c r="B109" t="s">
        <v>96</v>
      </c>
      <c r="C109" s="6">
        <v>0.70012583407482099</v>
      </c>
      <c r="D109">
        <v>44</v>
      </c>
      <c r="E109">
        <v>63</v>
      </c>
      <c r="F109">
        <v>56</v>
      </c>
      <c r="G109">
        <v>66</v>
      </c>
      <c r="H109">
        <v>37291</v>
      </c>
      <c r="I109">
        <v>3.4</v>
      </c>
    </row>
    <row r="110" spans="1:9" x14ac:dyDescent="0.2">
      <c r="A110" s="5">
        <v>45658</v>
      </c>
      <c r="B110" t="s">
        <v>143</v>
      </c>
      <c r="C110" s="6">
        <v>0.60201642612249562</v>
      </c>
      <c r="D110">
        <v>28</v>
      </c>
      <c r="E110">
        <v>55</v>
      </c>
      <c r="F110">
        <v>44</v>
      </c>
      <c r="G110">
        <v>70</v>
      </c>
      <c r="H110">
        <v>19159</v>
      </c>
      <c r="I110">
        <v>3.5</v>
      </c>
    </row>
    <row r="111" spans="1:9" x14ac:dyDescent="0.2">
      <c r="A111" s="5">
        <v>45689</v>
      </c>
      <c r="B111" t="s">
        <v>143</v>
      </c>
      <c r="C111" s="6">
        <v>0.70387013909936447</v>
      </c>
      <c r="D111">
        <v>54</v>
      </c>
      <c r="E111">
        <v>71</v>
      </c>
      <c r="F111">
        <v>62</v>
      </c>
      <c r="G111">
        <v>83</v>
      </c>
      <c r="H111">
        <v>29800</v>
      </c>
      <c r="I111">
        <v>3.9</v>
      </c>
    </row>
    <row r="112" spans="1:9" x14ac:dyDescent="0.2">
      <c r="A112" s="5">
        <v>45717</v>
      </c>
      <c r="B112" t="s">
        <v>143</v>
      </c>
      <c r="C112" s="6">
        <v>0.68341693771125755</v>
      </c>
      <c r="D112">
        <v>37</v>
      </c>
      <c r="E112">
        <v>69</v>
      </c>
      <c r="F112">
        <v>70</v>
      </c>
      <c r="G112">
        <v>75</v>
      </c>
      <c r="H112">
        <v>31456</v>
      </c>
      <c r="I112">
        <v>3.7</v>
      </c>
    </row>
    <row r="113" spans="1:9" x14ac:dyDescent="0.2">
      <c r="A113" s="5">
        <v>45748</v>
      </c>
      <c r="B113" t="s">
        <v>143</v>
      </c>
      <c r="C113" s="6">
        <v>0.66542901667843535</v>
      </c>
      <c r="D113">
        <v>27</v>
      </c>
      <c r="E113">
        <v>57</v>
      </c>
      <c r="F113">
        <v>45</v>
      </c>
      <c r="G113">
        <v>70</v>
      </c>
      <c r="H113">
        <v>54142</v>
      </c>
      <c r="I113">
        <v>3.5</v>
      </c>
    </row>
    <row r="114" spans="1:9" x14ac:dyDescent="0.2">
      <c r="A114" s="5">
        <v>45778</v>
      </c>
      <c r="B114" t="s">
        <v>143</v>
      </c>
      <c r="C114" s="6">
        <v>0.7100800891690584</v>
      </c>
      <c r="D114">
        <v>32</v>
      </c>
      <c r="E114">
        <v>65</v>
      </c>
      <c r="F114">
        <v>64</v>
      </c>
      <c r="G114">
        <v>70</v>
      </c>
      <c r="H114">
        <v>60593</v>
      </c>
      <c r="I114">
        <v>4</v>
      </c>
    </row>
    <row r="115" spans="1:9" x14ac:dyDescent="0.2">
      <c r="A115" s="5">
        <v>45809</v>
      </c>
      <c r="B115" t="s">
        <v>143</v>
      </c>
      <c r="C115" s="6">
        <v>0.81295600928950484</v>
      </c>
      <c r="D115">
        <v>61</v>
      </c>
      <c r="E115">
        <v>77</v>
      </c>
      <c r="F115">
        <v>75</v>
      </c>
      <c r="G115">
        <v>75</v>
      </c>
      <c r="H115">
        <v>58185</v>
      </c>
      <c r="I115">
        <v>3.9</v>
      </c>
    </row>
    <row r="116" spans="1:9" x14ac:dyDescent="0.2">
      <c r="A116" s="5">
        <v>45839</v>
      </c>
      <c r="B116" t="s">
        <v>143</v>
      </c>
      <c r="C116" s="6">
        <v>0.74805355909039162</v>
      </c>
      <c r="D116">
        <v>44</v>
      </c>
      <c r="E116">
        <v>72</v>
      </c>
      <c r="F116">
        <v>72</v>
      </c>
      <c r="G116">
        <v>77</v>
      </c>
      <c r="H116">
        <v>24917</v>
      </c>
      <c r="I116">
        <v>4.3</v>
      </c>
    </row>
    <row r="117" spans="1:9" x14ac:dyDescent="0.2">
      <c r="A117" s="5">
        <v>45870</v>
      </c>
      <c r="B117" t="s">
        <v>143</v>
      </c>
      <c r="C117" s="6">
        <v>0.55953452612098853</v>
      </c>
      <c r="D117">
        <v>11</v>
      </c>
      <c r="E117">
        <v>53</v>
      </c>
      <c r="F117">
        <v>54</v>
      </c>
      <c r="G117">
        <v>63</v>
      </c>
      <c r="H117">
        <v>59089</v>
      </c>
      <c r="I117">
        <v>3.5</v>
      </c>
    </row>
    <row r="118" spans="1:9" x14ac:dyDescent="0.2">
      <c r="A118" s="5">
        <v>45901</v>
      </c>
      <c r="B118" t="s">
        <v>143</v>
      </c>
      <c r="C118" s="6">
        <v>0.85454527598816765</v>
      </c>
      <c r="D118">
        <v>26</v>
      </c>
      <c r="E118">
        <v>66</v>
      </c>
      <c r="F118">
        <v>57</v>
      </c>
      <c r="G118">
        <v>75</v>
      </c>
      <c r="H118">
        <v>24877</v>
      </c>
      <c r="I118">
        <v>3.7</v>
      </c>
    </row>
    <row r="119" spans="1:9" x14ac:dyDescent="0.2">
      <c r="A119" s="5">
        <v>45931</v>
      </c>
      <c r="B119" t="s">
        <v>143</v>
      </c>
      <c r="C119" s="6">
        <v>0.68285278181323517</v>
      </c>
      <c r="D119">
        <v>-6</v>
      </c>
      <c r="E119">
        <v>53</v>
      </c>
      <c r="F119">
        <v>54</v>
      </c>
      <c r="G119">
        <v>62</v>
      </c>
      <c r="H119">
        <v>17293</v>
      </c>
      <c r="I119">
        <v>3.5</v>
      </c>
    </row>
    <row r="120" spans="1:9" x14ac:dyDescent="0.2">
      <c r="A120" s="5">
        <v>45962</v>
      </c>
      <c r="B120" t="s">
        <v>143</v>
      </c>
      <c r="C120" s="6">
        <v>0.76478305044626038</v>
      </c>
      <c r="D120">
        <v>29</v>
      </c>
      <c r="E120">
        <v>60</v>
      </c>
      <c r="F120">
        <v>46</v>
      </c>
      <c r="G120">
        <v>71</v>
      </c>
      <c r="H120">
        <v>44467</v>
      </c>
      <c r="I120">
        <v>3.6</v>
      </c>
    </row>
    <row r="121" spans="1:9" x14ac:dyDescent="0.2">
      <c r="A121" s="5">
        <v>45992</v>
      </c>
      <c r="B121" t="s">
        <v>143</v>
      </c>
      <c r="C121" s="6">
        <v>0.49696030333444624</v>
      </c>
      <c r="D121">
        <v>8</v>
      </c>
      <c r="E121">
        <v>52</v>
      </c>
      <c r="F121">
        <v>48</v>
      </c>
      <c r="G121">
        <v>71</v>
      </c>
      <c r="H121">
        <v>35871</v>
      </c>
      <c r="I121">
        <v>3.8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21"/>
  <sheetViews>
    <sheetView zoomScaleNormal="60" zoomScaleSheetLayoutView="100" workbookViewId="0"/>
  </sheetViews>
  <sheetFormatPr defaultRowHeight="15" x14ac:dyDescent="0.2"/>
  <cols>
    <col min="1" max="26" width="16.0078125" customWidth="1"/>
  </cols>
  <sheetData>
    <row r="1" spans="1:26" ht="27.75" x14ac:dyDescent="0.2">
      <c r="A1" s="1" t="s">
        <v>1759</v>
      </c>
      <c r="B1" s="1" t="s">
        <v>35</v>
      </c>
      <c r="C1" s="1" t="s">
        <v>1794</v>
      </c>
      <c r="D1" s="1" t="s">
        <v>1795</v>
      </c>
      <c r="E1" s="1" t="s">
        <v>1796</v>
      </c>
      <c r="F1" s="1" t="s">
        <v>1797</v>
      </c>
      <c r="G1" s="1" t="s">
        <v>1798</v>
      </c>
      <c r="H1" s="1" t="s">
        <v>1799</v>
      </c>
      <c r="I1" s="1" t="s">
        <v>1800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5">
        <v>45658</v>
      </c>
      <c r="B2" t="s">
        <v>89</v>
      </c>
      <c r="C2">
        <v>85</v>
      </c>
      <c r="D2">
        <v>11.32</v>
      </c>
      <c r="E2" s="6">
        <v>0.89015404002464971</v>
      </c>
      <c r="F2">
        <v>319</v>
      </c>
      <c r="G2">
        <v>2</v>
      </c>
      <c r="H2">
        <v>4.4000000000000004</v>
      </c>
      <c r="I2">
        <v>53</v>
      </c>
    </row>
    <row r="3" spans="1:26" x14ac:dyDescent="0.2">
      <c r="A3" s="5">
        <v>45689</v>
      </c>
      <c r="B3" t="s">
        <v>89</v>
      </c>
      <c r="C3">
        <v>79</v>
      </c>
      <c r="D3">
        <v>10.76</v>
      </c>
      <c r="E3" s="6">
        <v>0.79846425887747186</v>
      </c>
      <c r="F3">
        <v>241</v>
      </c>
      <c r="G3">
        <v>3</v>
      </c>
      <c r="H3">
        <v>6</v>
      </c>
      <c r="I3">
        <v>57</v>
      </c>
    </row>
    <row r="4" spans="1:26" x14ac:dyDescent="0.2">
      <c r="A4" s="5">
        <v>45717</v>
      </c>
      <c r="B4" t="s">
        <v>89</v>
      </c>
      <c r="C4">
        <v>74</v>
      </c>
      <c r="D4">
        <v>13.59</v>
      </c>
      <c r="E4" s="6">
        <v>0.79212381886300631</v>
      </c>
      <c r="F4">
        <v>263</v>
      </c>
      <c r="G4">
        <v>3</v>
      </c>
      <c r="H4">
        <v>4.9000000000000004</v>
      </c>
      <c r="I4">
        <v>58</v>
      </c>
    </row>
    <row r="5" spans="1:26" x14ac:dyDescent="0.2">
      <c r="A5" s="5">
        <v>45748</v>
      </c>
      <c r="B5" t="s">
        <v>89</v>
      </c>
      <c r="C5">
        <v>71</v>
      </c>
      <c r="D5">
        <v>11.91</v>
      </c>
      <c r="E5" s="6">
        <v>0.8199881590905711</v>
      </c>
      <c r="F5">
        <v>158</v>
      </c>
      <c r="G5">
        <v>4</v>
      </c>
      <c r="H5">
        <v>4.5999999999999996</v>
      </c>
      <c r="I5">
        <v>53</v>
      </c>
    </row>
    <row r="6" spans="1:26" x14ac:dyDescent="0.2">
      <c r="A6" s="5">
        <v>45778</v>
      </c>
      <c r="B6" t="s">
        <v>89</v>
      </c>
      <c r="C6">
        <v>80</v>
      </c>
      <c r="D6">
        <v>11.93</v>
      </c>
      <c r="E6" s="6">
        <v>0.83394450603390169</v>
      </c>
      <c r="F6">
        <v>387</v>
      </c>
      <c r="G6">
        <v>2</v>
      </c>
      <c r="H6">
        <v>5.0999999999999996</v>
      </c>
      <c r="I6">
        <v>54</v>
      </c>
    </row>
    <row r="7" spans="1:26" x14ac:dyDescent="0.2">
      <c r="A7" s="5">
        <v>45809</v>
      </c>
      <c r="B7" t="s">
        <v>89</v>
      </c>
      <c r="C7">
        <v>77</v>
      </c>
      <c r="D7">
        <v>11.48</v>
      </c>
      <c r="E7" s="6">
        <v>0.84239766648481385</v>
      </c>
      <c r="F7">
        <v>385</v>
      </c>
      <c r="G7">
        <v>4</v>
      </c>
      <c r="H7">
        <v>5.8</v>
      </c>
      <c r="I7">
        <v>55</v>
      </c>
    </row>
    <row r="8" spans="1:26" x14ac:dyDescent="0.2">
      <c r="A8" s="5">
        <v>45839</v>
      </c>
      <c r="B8" t="s">
        <v>89</v>
      </c>
      <c r="C8">
        <v>73</v>
      </c>
      <c r="D8">
        <v>13.56</v>
      </c>
      <c r="E8" s="6">
        <v>0.83197367462255845</v>
      </c>
      <c r="F8">
        <v>301</v>
      </c>
      <c r="G8">
        <v>2</v>
      </c>
      <c r="H8">
        <v>4.9000000000000004</v>
      </c>
      <c r="I8">
        <v>53</v>
      </c>
    </row>
    <row r="9" spans="1:26" x14ac:dyDescent="0.2">
      <c r="A9" s="5">
        <v>45870</v>
      </c>
      <c r="B9" t="s">
        <v>89</v>
      </c>
      <c r="C9">
        <v>75</v>
      </c>
      <c r="D9">
        <v>13.71</v>
      </c>
      <c r="E9" s="6">
        <v>0.79287150758081959</v>
      </c>
      <c r="F9">
        <v>202</v>
      </c>
      <c r="G9">
        <v>3</v>
      </c>
      <c r="H9">
        <v>5.4</v>
      </c>
      <c r="I9">
        <v>58</v>
      </c>
    </row>
    <row r="10" spans="1:26" x14ac:dyDescent="0.2">
      <c r="A10" s="5">
        <v>45901</v>
      </c>
      <c r="B10" t="s">
        <v>89</v>
      </c>
      <c r="C10">
        <v>83</v>
      </c>
      <c r="D10">
        <v>12.05</v>
      </c>
      <c r="E10" s="6">
        <v>0.8725671011623819</v>
      </c>
      <c r="F10">
        <v>165</v>
      </c>
      <c r="G10">
        <v>4</v>
      </c>
      <c r="H10">
        <v>5.0999999999999996</v>
      </c>
      <c r="I10">
        <v>50</v>
      </c>
    </row>
    <row r="11" spans="1:26" x14ac:dyDescent="0.2">
      <c r="A11" s="5">
        <v>45931</v>
      </c>
      <c r="B11" t="s">
        <v>89</v>
      </c>
      <c r="C11">
        <v>73</v>
      </c>
      <c r="D11">
        <v>12.02</v>
      </c>
      <c r="E11" s="6">
        <v>0.78204905635297006</v>
      </c>
      <c r="F11">
        <v>187</v>
      </c>
      <c r="G11">
        <v>2</v>
      </c>
      <c r="H11">
        <v>6</v>
      </c>
      <c r="I11">
        <v>60</v>
      </c>
    </row>
    <row r="12" spans="1:26" x14ac:dyDescent="0.2">
      <c r="A12" s="5">
        <v>45962</v>
      </c>
      <c r="B12" t="s">
        <v>89</v>
      </c>
      <c r="C12">
        <v>75</v>
      </c>
      <c r="D12">
        <v>11.02</v>
      </c>
      <c r="E12" s="6">
        <v>0.78607313314726912</v>
      </c>
      <c r="F12">
        <v>210</v>
      </c>
      <c r="G12">
        <v>4</v>
      </c>
      <c r="H12">
        <v>5.9</v>
      </c>
      <c r="I12">
        <v>57</v>
      </c>
    </row>
    <row r="13" spans="1:26" x14ac:dyDescent="0.2">
      <c r="A13" s="5">
        <v>45992</v>
      </c>
      <c r="B13" t="s">
        <v>89</v>
      </c>
      <c r="C13">
        <v>78</v>
      </c>
      <c r="D13">
        <v>10.69</v>
      </c>
      <c r="E13" s="6">
        <v>0.82479171336235557</v>
      </c>
      <c r="F13">
        <v>221</v>
      </c>
      <c r="G13">
        <v>3</v>
      </c>
      <c r="H13">
        <v>5.7</v>
      </c>
      <c r="I13">
        <v>54</v>
      </c>
    </row>
    <row r="14" spans="1:26" x14ac:dyDescent="0.2">
      <c r="A14" s="5">
        <v>45658</v>
      </c>
      <c r="B14" t="s">
        <v>102</v>
      </c>
      <c r="C14">
        <v>77</v>
      </c>
      <c r="D14">
        <v>11.57</v>
      </c>
      <c r="E14" s="6">
        <v>0.81907920656981281</v>
      </c>
      <c r="F14">
        <v>205</v>
      </c>
      <c r="G14">
        <v>3</v>
      </c>
      <c r="H14">
        <v>4.9000000000000004</v>
      </c>
      <c r="I14">
        <v>56</v>
      </c>
    </row>
    <row r="15" spans="1:26" x14ac:dyDescent="0.2">
      <c r="A15" s="5">
        <v>45689</v>
      </c>
      <c r="B15" t="s">
        <v>102</v>
      </c>
      <c r="C15">
        <v>81</v>
      </c>
      <c r="D15">
        <v>11.33</v>
      </c>
      <c r="E15" s="6">
        <v>0.81044680426059934</v>
      </c>
      <c r="F15">
        <v>195</v>
      </c>
      <c r="G15">
        <v>2</v>
      </c>
      <c r="H15">
        <v>5.4</v>
      </c>
      <c r="I15">
        <v>58</v>
      </c>
    </row>
    <row r="16" spans="1:26" x14ac:dyDescent="0.2">
      <c r="A16" s="5">
        <v>45717</v>
      </c>
      <c r="B16" t="s">
        <v>102</v>
      </c>
      <c r="C16">
        <v>75</v>
      </c>
      <c r="D16">
        <v>12.95</v>
      </c>
      <c r="E16" s="6">
        <v>0.81470085463292763</v>
      </c>
      <c r="F16">
        <v>226</v>
      </c>
      <c r="G16">
        <v>2</v>
      </c>
      <c r="H16">
        <v>5.0999999999999996</v>
      </c>
      <c r="I16">
        <v>59</v>
      </c>
    </row>
    <row r="17" spans="1:9" x14ac:dyDescent="0.2">
      <c r="A17" s="5">
        <v>45748</v>
      </c>
      <c r="B17" t="s">
        <v>102</v>
      </c>
      <c r="C17">
        <v>83</v>
      </c>
      <c r="D17">
        <v>11.3</v>
      </c>
      <c r="E17" s="6">
        <v>0.7909079748432557</v>
      </c>
      <c r="F17">
        <v>176</v>
      </c>
      <c r="G17">
        <v>2</v>
      </c>
      <c r="H17">
        <v>7.2</v>
      </c>
      <c r="I17">
        <v>63</v>
      </c>
    </row>
    <row r="18" spans="1:9" x14ac:dyDescent="0.2">
      <c r="A18" s="5">
        <v>45778</v>
      </c>
      <c r="B18" t="s">
        <v>102</v>
      </c>
      <c r="C18">
        <v>81</v>
      </c>
      <c r="D18">
        <v>10.69</v>
      </c>
      <c r="E18" s="6">
        <v>0.89267577437004297</v>
      </c>
      <c r="F18">
        <v>77</v>
      </c>
      <c r="G18">
        <v>1</v>
      </c>
      <c r="H18">
        <v>3.6</v>
      </c>
      <c r="I18">
        <v>44</v>
      </c>
    </row>
    <row r="19" spans="1:9" x14ac:dyDescent="0.2">
      <c r="A19" s="5">
        <v>45809</v>
      </c>
      <c r="B19" t="s">
        <v>102</v>
      </c>
      <c r="C19">
        <v>78</v>
      </c>
      <c r="D19">
        <v>13.14</v>
      </c>
      <c r="E19" s="6">
        <v>0.79592438658202225</v>
      </c>
      <c r="F19">
        <v>113</v>
      </c>
      <c r="G19">
        <v>3</v>
      </c>
      <c r="H19">
        <v>4.7</v>
      </c>
      <c r="I19">
        <v>57</v>
      </c>
    </row>
    <row r="20" spans="1:9" x14ac:dyDescent="0.2">
      <c r="A20" s="5">
        <v>45839</v>
      </c>
      <c r="B20" t="s">
        <v>102</v>
      </c>
      <c r="C20">
        <v>76</v>
      </c>
      <c r="D20">
        <v>11.59</v>
      </c>
      <c r="E20" s="6">
        <v>0.80899213033702755</v>
      </c>
      <c r="F20">
        <v>159</v>
      </c>
      <c r="G20">
        <v>2</v>
      </c>
      <c r="H20">
        <v>5.5</v>
      </c>
      <c r="I20">
        <v>58</v>
      </c>
    </row>
    <row r="21" spans="1:9" x14ac:dyDescent="0.2">
      <c r="A21" s="5">
        <v>45870</v>
      </c>
      <c r="B21" t="s">
        <v>102</v>
      </c>
      <c r="C21">
        <v>86</v>
      </c>
      <c r="D21">
        <v>10.69</v>
      </c>
      <c r="E21" s="6">
        <v>0.83889072191186009</v>
      </c>
      <c r="F21">
        <v>203</v>
      </c>
      <c r="G21">
        <v>3</v>
      </c>
      <c r="H21">
        <v>5</v>
      </c>
      <c r="I21">
        <v>54</v>
      </c>
    </row>
    <row r="22" spans="1:9" x14ac:dyDescent="0.2">
      <c r="A22" s="5">
        <v>45901</v>
      </c>
      <c r="B22" t="s">
        <v>102</v>
      </c>
      <c r="C22">
        <v>76</v>
      </c>
      <c r="D22">
        <v>11.62</v>
      </c>
      <c r="E22" s="6">
        <v>0.81121431120058995</v>
      </c>
      <c r="F22">
        <v>132</v>
      </c>
      <c r="G22">
        <v>2</v>
      </c>
      <c r="H22">
        <v>5.2</v>
      </c>
      <c r="I22">
        <v>55</v>
      </c>
    </row>
    <row r="23" spans="1:9" x14ac:dyDescent="0.2">
      <c r="A23" s="5">
        <v>45931</v>
      </c>
      <c r="B23" t="s">
        <v>102</v>
      </c>
      <c r="C23">
        <v>78</v>
      </c>
      <c r="D23">
        <v>10.99</v>
      </c>
      <c r="E23" s="6">
        <v>0.76931746852573568</v>
      </c>
      <c r="F23">
        <v>129</v>
      </c>
      <c r="G23">
        <v>3</v>
      </c>
      <c r="H23">
        <v>5.0999999999999996</v>
      </c>
      <c r="I23">
        <v>58</v>
      </c>
    </row>
    <row r="24" spans="1:9" x14ac:dyDescent="0.2">
      <c r="A24" s="5">
        <v>45962</v>
      </c>
      <c r="B24" t="s">
        <v>102</v>
      </c>
      <c r="C24">
        <v>84</v>
      </c>
      <c r="D24">
        <v>9.61</v>
      </c>
      <c r="E24" s="6">
        <v>0.87272822846497611</v>
      </c>
      <c r="F24">
        <v>134</v>
      </c>
      <c r="G24">
        <v>3</v>
      </c>
      <c r="H24">
        <v>5.3</v>
      </c>
      <c r="I24">
        <v>47</v>
      </c>
    </row>
    <row r="25" spans="1:9" x14ac:dyDescent="0.2">
      <c r="A25" s="5">
        <v>45992</v>
      </c>
      <c r="B25" t="s">
        <v>102</v>
      </c>
      <c r="C25">
        <v>79</v>
      </c>
      <c r="D25">
        <v>12.61</v>
      </c>
      <c r="E25" s="6">
        <v>0.80680622420503556</v>
      </c>
      <c r="F25">
        <v>127</v>
      </c>
      <c r="G25">
        <v>2</v>
      </c>
      <c r="H25">
        <v>5.3</v>
      </c>
      <c r="I25">
        <v>55</v>
      </c>
    </row>
    <row r="26" spans="1:9" x14ac:dyDescent="0.2">
      <c r="A26" s="5">
        <v>45658</v>
      </c>
      <c r="B26" t="s">
        <v>74</v>
      </c>
      <c r="C26">
        <v>70</v>
      </c>
      <c r="D26">
        <v>12.73</v>
      </c>
      <c r="E26" s="6">
        <v>0.77683501151265899</v>
      </c>
      <c r="F26">
        <v>293</v>
      </c>
      <c r="G26">
        <v>1</v>
      </c>
      <c r="H26">
        <v>6</v>
      </c>
      <c r="I26">
        <v>60</v>
      </c>
    </row>
    <row r="27" spans="1:9" x14ac:dyDescent="0.2">
      <c r="A27" s="5">
        <v>45689</v>
      </c>
      <c r="B27" t="s">
        <v>74</v>
      </c>
      <c r="C27">
        <v>71</v>
      </c>
      <c r="D27">
        <v>12.49</v>
      </c>
      <c r="E27" s="6">
        <v>0.74270207119354803</v>
      </c>
      <c r="F27">
        <v>283</v>
      </c>
      <c r="G27">
        <v>2</v>
      </c>
      <c r="H27">
        <v>5.7</v>
      </c>
      <c r="I27">
        <v>59</v>
      </c>
    </row>
    <row r="28" spans="1:9" x14ac:dyDescent="0.2">
      <c r="A28" s="5">
        <v>45717</v>
      </c>
      <c r="B28" t="s">
        <v>74</v>
      </c>
      <c r="C28">
        <v>74</v>
      </c>
      <c r="D28">
        <v>11.73</v>
      </c>
      <c r="E28" s="6">
        <v>0.82230393246788291</v>
      </c>
      <c r="F28">
        <v>210</v>
      </c>
      <c r="G28">
        <v>2</v>
      </c>
      <c r="H28">
        <v>5.4</v>
      </c>
      <c r="I28">
        <v>55</v>
      </c>
    </row>
    <row r="29" spans="1:9" x14ac:dyDescent="0.2">
      <c r="A29" s="5">
        <v>45748</v>
      </c>
      <c r="B29" t="s">
        <v>74</v>
      </c>
      <c r="C29">
        <v>78</v>
      </c>
      <c r="D29">
        <v>11</v>
      </c>
      <c r="E29" s="6">
        <v>0.84429924386691502</v>
      </c>
      <c r="F29">
        <v>160</v>
      </c>
      <c r="G29">
        <v>2</v>
      </c>
      <c r="H29">
        <v>5.0999999999999996</v>
      </c>
      <c r="I29">
        <v>49</v>
      </c>
    </row>
    <row r="30" spans="1:9" x14ac:dyDescent="0.2">
      <c r="A30" s="5">
        <v>45778</v>
      </c>
      <c r="B30" t="s">
        <v>74</v>
      </c>
      <c r="C30">
        <v>66</v>
      </c>
      <c r="D30">
        <v>14.04</v>
      </c>
      <c r="E30" s="6">
        <v>0.76399560926514209</v>
      </c>
      <c r="F30">
        <v>203</v>
      </c>
      <c r="G30">
        <v>4</v>
      </c>
      <c r="H30">
        <v>5.2</v>
      </c>
      <c r="I30">
        <v>61</v>
      </c>
    </row>
    <row r="31" spans="1:9" x14ac:dyDescent="0.2">
      <c r="A31" s="5">
        <v>45809</v>
      </c>
      <c r="B31" t="s">
        <v>74</v>
      </c>
      <c r="C31">
        <v>67</v>
      </c>
      <c r="D31">
        <v>12.73</v>
      </c>
      <c r="E31" s="6">
        <v>0.77081944070847175</v>
      </c>
      <c r="F31">
        <v>193</v>
      </c>
      <c r="G31">
        <v>4</v>
      </c>
      <c r="H31">
        <v>4.8</v>
      </c>
      <c r="I31">
        <v>59</v>
      </c>
    </row>
    <row r="32" spans="1:9" x14ac:dyDescent="0.2">
      <c r="A32" s="5">
        <v>45839</v>
      </c>
      <c r="B32" t="s">
        <v>74</v>
      </c>
      <c r="C32">
        <v>76</v>
      </c>
      <c r="D32">
        <v>12.13</v>
      </c>
      <c r="E32" s="6">
        <v>0.85033905082170846</v>
      </c>
      <c r="F32">
        <v>299</v>
      </c>
      <c r="G32">
        <v>2</v>
      </c>
      <c r="H32">
        <v>5.4</v>
      </c>
      <c r="I32">
        <v>49</v>
      </c>
    </row>
    <row r="33" spans="1:9" x14ac:dyDescent="0.2">
      <c r="A33" s="5">
        <v>45870</v>
      </c>
      <c r="B33" t="s">
        <v>74</v>
      </c>
      <c r="C33">
        <v>70</v>
      </c>
      <c r="D33">
        <v>11.77</v>
      </c>
      <c r="E33" s="6">
        <v>0.72386022307345443</v>
      </c>
      <c r="F33">
        <v>247</v>
      </c>
      <c r="G33">
        <v>2</v>
      </c>
      <c r="H33">
        <v>5.6</v>
      </c>
      <c r="I33">
        <v>64</v>
      </c>
    </row>
    <row r="34" spans="1:9" x14ac:dyDescent="0.2">
      <c r="A34" s="5">
        <v>45901</v>
      </c>
      <c r="B34" t="s">
        <v>74</v>
      </c>
      <c r="C34">
        <v>59</v>
      </c>
      <c r="D34">
        <v>16.13</v>
      </c>
      <c r="E34" s="6">
        <v>0.73817699965696049</v>
      </c>
      <c r="F34">
        <v>307</v>
      </c>
      <c r="G34">
        <v>4</v>
      </c>
      <c r="H34">
        <v>6</v>
      </c>
      <c r="I34">
        <v>67</v>
      </c>
    </row>
    <row r="35" spans="1:9" x14ac:dyDescent="0.2">
      <c r="A35" s="5">
        <v>45931</v>
      </c>
      <c r="B35" t="s">
        <v>74</v>
      </c>
      <c r="C35">
        <v>69</v>
      </c>
      <c r="D35">
        <v>13.51</v>
      </c>
      <c r="E35" s="6">
        <v>0.77541207613822705</v>
      </c>
      <c r="F35">
        <v>261</v>
      </c>
      <c r="G35">
        <v>3</v>
      </c>
      <c r="H35">
        <v>5.8</v>
      </c>
      <c r="I35">
        <v>57</v>
      </c>
    </row>
    <row r="36" spans="1:9" x14ac:dyDescent="0.2">
      <c r="A36" s="5">
        <v>45962</v>
      </c>
      <c r="B36" t="s">
        <v>74</v>
      </c>
      <c r="C36">
        <v>69</v>
      </c>
      <c r="D36">
        <v>12.38</v>
      </c>
      <c r="E36" s="6">
        <v>0.76596953703140847</v>
      </c>
      <c r="F36">
        <v>302</v>
      </c>
      <c r="G36">
        <v>2</v>
      </c>
      <c r="H36">
        <v>5.7</v>
      </c>
      <c r="I36">
        <v>61</v>
      </c>
    </row>
    <row r="37" spans="1:9" x14ac:dyDescent="0.2">
      <c r="A37" s="5">
        <v>45992</v>
      </c>
      <c r="B37" t="s">
        <v>74</v>
      </c>
      <c r="C37">
        <v>72</v>
      </c>
      <c r="D37">
        <v>11.54</v>
      </c>
      <c r="E37" s="6">
        <v>0.80187723737254146</v>
      </c>
      <c r="F37">
        <v>227</v>
      </c>
      <c r="G37">
        <v>3</v>
      </c>
      <c r="H37">
        <v>5.2</v>
      </c>
      <c r="I37">
        <v>53</v>
      </c>
    </row>
    <row r="38" spans="1:9" x14ac:dyDescent="0.2">
      <c r="A38" s="5">
        <v>45658</v>
      </c>
      <c r="B38" t="s">
        <v>108</v>
      </c>
      <c r="C38">
        <v>77</v>
      </c>
      <c r="D38">
        <v>12.2</v>
      </c>
      <c r="E38" s="6">
        <v>0.81901792211777003</v>
      </c>
      <c r="F38">
        <v>149</v>
      </c>
      <c r="G38">
        <v>2</v>
      </c>
      <c r="H38">
        <v>5</v>
      </c>
      <c r="I38">
        <v>52</v>
      </c>
    </row>
    <row r="39" spans="1:9" x14ac:dyDescent="0.2">
      <c r="A39" s="5">
        <v>45689</v>
      </c>
      <c r="B39" t="s">
        <v>108</v>
      </c>
      <c r="C39">
        <v>84</v>
      </c>
      <c r="D39">
        <v>12</v>
      </c>
      <c r="E39" s="6">
        <v>0.87452834010210101</v>
      </c>
      <c r="F39">
        <v>248</v>
      </c>
      <c r="G39">
        <v>1</v>
      </c>
      <c r="H39">
        <v>5</v>
      </c>
      <c r="I39">
        <v>50</v>
      </c>
    </row>
    <row r="40" spans="1:9" x14ac:dyDescent="0.2">
      <c r="A40" s="5">
        <v>45717</v>
      </c>
      <c r="B40" t="s">
        <v>108</v>
      </c>
      <c r="C40">
        <v>71</v>
      </c>
      <c r="D40">
        <v>13.11</v>
      </c>
      <c r="E40" s="6">
        <v>0.7993610265741794</v>
      </c>
      <c r="F40">
        <v>214</v>
      </c>
      <c r="G40">
        <v>2</v>
      </c>
      <c r="H40">
        <v>4.9000000000000004</v>
      </c>
      <c r="I40">
        <v>53</v>
      </c>
    </row>
    <row r="41" spans="1:9" x14ac:dyDescent="0.2">
      <c r="A41" s="5">
        <v>45748</v>
      </c>
      <c r="B41" t="s">
        <v>108</v>
      </c>
      <c r="C41">
        <v>86</v>
      </c>
      <c r="D41">
        <v>11.67</v>
      </c>
      <c r="E41" s="6">
        <v>0.8550463444986609</v>
      </c>
      <c r="F41">
        <v>254</v>
      </c>
      <c r="G41">
        <v>2</v>
      </c>
      <c r="H41">
        <v>4.7</v>
      </c>
      <c r="I41">
        <v>51</v>
      </c>
    </row>
    <row r="42" spans="1:9" x14ac:dyDescent="0.2">
      <c r="A42" s="5">
        <v>45778</v>
      </c>
      <c r="B42" t="s">
        <v>108</v>
      </c>
      <c r="C42">
        <v>77</v>
      </c>
      <c r="D42">
        <v>11.08</v>
      </c>
      <c r="E42" s="6">
        <v>0.83216073397212131</v>
      </c>
      <c r="F42">
        <v>121</v>
      </c>
      <c r="G42">
        <v>3</v>
      </c>
      <c r="H42">
        <v>5</v>
      </c>
      <c r="I42">
        <v>53</v>
      </c>
    </row>
    <row r="43" spans="1:9" x14ac:dyDescent="0.2">
      <c r="A43" s="5">
        <v>45809</v>
      </c>
      <c r="B43" t="s">
        <v>108</v>
      </c>
      <c r="C43">
        <v>82</v>
      </c>
      <c r="D43">
        <v>9.99</v>
      </c>
      <c r="E43" s="6">
        <v>0.87198562941008373</v>
      </c>
      <c r="F43">
        <v>245</v>
      </c>
      <c r="G43">
        <v>2</v>
      </c>
      <c r="H43">
        <v>4.5</v>
      </c>
      <c r="I43">
        <v>49</v>
      </c>
    </row>
    <row r="44" spans="1:9" x14ac:dyDescent="0.2">
      <c r="A44" s="5">
        <v>45839</v>
      </c>
      <c r="B44" t="s">
        <v>108</v>
      </c>
      <c r="C44">
        <v>76</v>
      </c>
      <c r="D44">
        <v>13.38</v>
      </c>
      <c r="E44" s="6">
        <v>0.807483589796548</v>
      </c>
      <c r="F44">
        <v>153</v>
      </c>
      <c r="G44">
        <v>2</v>
      </c>
      <c r="H44">
        <v>5.7</v>
      </c>
      <c r="I44">
        <v>60</v>
      </c>
    </row>
    <row r="45" spans="1:9" x14ac:dyDescent="0.2">
      <c r="A45" s="5">
        <v>45870</v>
      </c>
      <c r="B45" t="s">
        <v>108</v>
      </c>
      <c r="C45">
        <v>76</v>
      </c>
      <c r="D45">
        <v>13</v>
      </c>
      <c r="E45" s="6">
        <v>0.84408415861126673</v>
      </c>
      <c r="F45">
        <v>244</v>
      </c>
      <c r="G45">
        <v>2</v>
      </c>
      <c r="H45">
        <v>4.5999999999999996</v>
      </c>
      <c r="I45">
        <v>54</v>
      </c>
    </row>
    <row r="46" spans="1:9" x14ac:dyDescent="0.2">
      <c r="A46" s="5">
        <v>45901</v>
      </c>
      <c r="B46" t="s">
        <v>108</v>
      </c>
      <c r="C46">
        <v>81</v>
      </c>
      <c r="D46">
        <v>12.03</v>
      </c>
      <c r="E46" s="6">
        <v>0.83885464015820677</v>
      </c>
      <c r="F46">
        <v>200</v>
      </c>
      <c r="G46">
        <v>1</v>
      </c>
      <c r="H46">
        <v>5.5</v>
      </c>
      <c r="I46">
        <v>56</v>
      </c>
    </row>
    <row r="47" spans="1:9" x14ac:dyDescent="0.2">
      <c r="A47" s="5">
        <v>45931</v>
      </c>
      <c r="B47" t="s">
        <v>108</v>
      </c>
      <c r="C47">
        <v>88</v>
      </c>
      <c r="D47">
        <v>9.2200000000000006</v>
      </c>
      <c r="E47" s="6">
        <v>0.86835950206196066</v>
      </c>
      <c r="F47">
        <v>260</v>
      </c>
      <c r="G47">
        <v>1</v>
      </c>
      <c r="H47">
        <v>4.9000000000000004</v>
      </c>
      <c r="I47">
        <v>49</v>
      </c>
    </row>
    <row r="48" spans="1:9" x14ac:dyDescent="0.2">
      <c r="A48" s="5">
        <v>45962</v>
      </c>
      <c r="B48" t="s">
        <v>108</v>
      </c>
      <c r="C48">
        <v>74</v>
      </c>
      <c r="D48">
        <v>11.68</v>
      </c>
      <c r="E48" s="6">
        <v>0.76364813689782329</v>
      </c>
      <c r="F48">
        <v>185</v>
      </c>
      <c r="G48">
        <v>2</v>
      </c>
      <c r="H48">
        <v>6.8</v>
      </c>
      <c r="I48">
        <v>62</v>
      </c>
    </row>
    <row r="49" spans="1:9" x14ac:dyDescent="0.2">
      <c r="A49" s="5">
        <v>45992</v>
      </c>
      <c r="B49" t="s">
        <v>108</v>
      </c>
      <c r="C49">
        <v>84</v>
      </c>
      <c r="D49">
        <v>10.27</v>
      </c>
      <c r="E49" s="6">
        <v>0.92999265523311103</v>
      </c>
      <c r="F49">
        <v>257</v>
      </c>
      <c r="G49">
        <v>2</v>
      </c>
      <c r="H49">
        <v>3.8</v>
      </c>
      <c r="I49">
        <v>43</v>
      </c>
    </row>
    <row r="50" spans="1:9" x14ac:dyDescent="0.2">
      <c r="A50" s="5">
        <v>45658</v>
      </c>
      <c r="B50" t="s">
        <v>12</v>
      </c>
      <c r="C50">
        <v>66</v>
      </c>
      <c r="D50">
        <v>12.38</v>
      </c>
      <c r="E50" s="6">
        <v>0.75914046128830504</v>
      </c>
      <c r="F50">
        <v>128</v>
      </c>
      <c r="G50">
        <v>2</v>
      </c>
      <c r="H50">
        <v>4.5999999999999996</v>
      </c>
      <c r="I50">
        <v>57</v>
      </c>
    </row>
    <row r="51" spans="1:9" x14ac:dyDescent="0.2">
      <c r="A51" s="5">
        <v>45689</v>
      </c>
      <c r="B51" t="s">
        <v>12</v>
      </c>
      <c r="C51">
        <v>78</v>
      </c>
      <c r="D51">
        <v>10.96</v>
      </c>
      <c r="E51" s="6">
        <v>0.83220045732756687</v>
      </c>
      <c r="F51">
        <v>74</v>
      </c>
      <c r="G51">
        <v>2</v>
      </c>
      <c r="H51">
        <v>4.9000000000000004</v>
      </c>
      <c r="I51">
        <v>48</v>
      </c>
    </row>
    <row r="52" spans="1:9" x14ac:dyDescent="0.2">
      <c r="A52" s="5">
        <v>45717</v>
      </c>
      <c r="B52" t="s">
        <v>12</v>
      </c>
      <c r="C52">
        <v>73</v>
      </c>
      <c r="D52">
        <v>14.16</v>
      </c>
      <c r="E52" s="6">
        <v>0.73493168883670745</v>
      </c>
      <c r="F52">
        <v>164</v>
      </c>
      <c r="G52">
        <v>1</v>
      </c>
      <c r="H52">
        <v>7.1</v>
      </c>
      <c r="I52">
        <v>66</v>
      </c>
    </row>
    <row r="53" spans="1:9" x14ac:dyDescent="0.2">
      <c r="A53" s="5">
        <v>45748</v>
      </c>
      <c r="B53" t="s">
        <v>12</v>
      </c>
      <c r="C53">
        <v>74</v>
      </c>
      <c r="D53">
        <v>12.98</v>
      </c>
      <c r="E53" s="6">
        <v>0.7682178199005093</v>
      </c>
      <c r="F53">
        <v>82</v>
      </c>
      <c r="G53">
        <v>2</v>
      </c>
      <c r="H53">
        <v>6.2</v>
      </c>
      <c r="I53">
        <v>59</v>
      </c>
    </row>
    <row r="54" spans="1:9" x14ac:dyDescent="0.2">
      <c r="A54" s="5">
        <v>45778</v>
      </c>
      <c r="B54" t="s">
        <v>12</v>
      </c>
      <c r="C54">
        <v>65</v>
      </c>
      <c r="D54">
        <v>11.81</v>
      </c>
      <c r="E54" s="6">
        <v>0.79207181391332071</v>
      </c>
      <c r="F54">
        <v>43</v>
      </c>
      <c r="G54">
        <v>2</v>
      </c>
      <c r="H54">
        <v>4.4000000000000004</v>
      </c>
      <c r="I54">
        <v>53</v>
      </c>
    </row>
    <row r="55" spans="1:9" x14ac:dyDescent="0.2">
      <c r="A55" s="5">
        <v>45809</v>
      </c>
      <c r="B55" t="s">
        <v>12</v>
      </c>
      <c r="C55">
        <v>76</v>
      </c>
      <c r="D55">
        <v>12.23</v>
      </c>
      <c r="E55" s="6">
        <v>0.85436842475623331</v>
      </c>
      <c r="F55">
        <v>164</v>
      </c>
      <c r="G55">
        <v>1</v>
      </c>
      <c r="H55">
        <v>5.6</v>
      </c>
      <c r="I55">
        <v>54</v>
      </c>
    </row>
    <row r="56" spans="1:9" x14ac:dyDescent="0.2">
      <c r="A56" s="5">
        <v>45839</v>
      </c>
      <c r="B56" t="s">
        <v>12</v>
      </c>
      <c r="C56">
        <v>73</v>
      </c>
      <c r="D56">
        <v>11.31</v>
      </c>
      <c r="E56" s="6">
        <v>0.82159449227770476</v>
      </c>
      <c r="F56">
        <v>115</v>
      </c>
      <c r="G56">
        <v>1</v>
      </c>
      <c r="H56">
        <v>4.7</v>
      </c>
      <c r="I56">
        <v>52</v>
      </c>
    </row>
    <row r="57" spans="1:9" x14ac:dyDescent="0.2">
      <c r="A57" s="5">
        <v>45870</v>
      </c>
      <c r="B57" t="s">
        <v>12</v>
      </c>
      <c r="C57">
        <v>71</v>
      </c>
      <c r="D57">
        <v>12.03</v>
      </c>
      <c r="E57" s="6">
        <v>0.80088171880535552</v>
      </c>
      <c r="F57">
        <v>83</v>
      </c>
      <c r="G57">
        <v>2</v>
      </c>
      <c r="H57">
        <v>4.8</v>
      </c>
      <c r="I57">
        <v>52</v>
      </c>
    </row>
    <row r="58" spans="1:9" x14ac:dyDescent="0.2">
      <c r="A58" s="5">
        <v>45901</v>
      </c>
      <c r="B58" t="s">
        <v>12</v>
      </c>
      <c r="C58">
        <v>73</v>
      </c>
      <c r="D58">
        <v>10.97</v>
      </c>
      <c r="E58" s="6">
        <v>0.75800720834232427</v>
      </c>
      <c r="F58">
        <v>80</v>
      </c>
      <c r="G58">
        <v>1</v>
      </c>
      <c r="H58">
        <v>5.2</v>
      </c>
      <c r="I58">
        <v>56</v>
      </c>
    </row>
    <row r="59" spans="1:9" x14ac:dyDescent="0.2">
      <c r="A59" s="5">
        <v>45931</v>
      </c>
      <c r="B59" t="s">
        <v>12</v>
      </c>
      <c r="C59">
        <v>69</v>
      </c>
      <c r="D59">
        <v>10.79</v>
      </c>
      <c r="E59" s="6">
        <v>0.81210603630808931</v>
      </c>
      <c r="F59">
        <v>53</v>
      </c>
      <c r="G59">
        <v>1</v>
      </c>
      <c r="H59">
        <v>5.0999999999999996</v>
      </c>
      <c r="I59">
        <v>52</v>
      </c>
    </row>
    <row r="60" spans="1:9" x14ac:dyDescent="0.2">
      <c r="A60" s="5">
        <v>45962</v>
      </c>
      <c r="B60" t="s">
        <v>12</v>
      </c>
      <c r="C60">
        <v>72</v>
      </c>
      <c r="D60">
        <v>11.89</v>
      </c>
      <c r="E60" s="6">
        <v>0.81452313975809187</v>
      </c>
      <c r="F60">
        <v>117</v>
      </c>
      <c r="G60">
        <v>2</v>
      </c>
      <c r="H60">
        <v>3.9</v>
      </c>
      <c r="I60">
        <v>52</v>
      </c>
    </row>
    <row r="61" spans="1:9" x14ac:dyDescent="0.2">
      <c r="A61" s="5">
        <v>45992</v>
      </c>
      <c r="B61" t="s">
        <v>12</v>
      </c>
      <c r="C61">
        <v>76</v>
      </c>
      <c r="D61">
        <v>12.49</v>
      </c>
      <c r="E61" s="6">
        <v>0.83697400324268267</v>
      </c>
      <c r="F61">
        <v>68</v>
      </c>
      <c r="G61">
        <v>1</v>
      </c>
      <c r="H61">
        <v>5.7</v>
      </c>
      <c r="I61">
        <v>52</v>
      </c>
    </row>
    <row r="62" spans="1:9" x14ac:dyDescent="0.2">
      <c r="A62" s="5">
        <v>45658</v>
      </c>
      <c r="B62" t="s">
        <v>124</v>
      </c>
      <c r="C62">
        <v>70</v>
      </c>
      <c r="D62">
        <v>13.95</v>
      </c>
      <c r="E62" s="6">
        <v>0.74176708741282771</v>
      </c>
      <c r="F62">
        <v>110</v>
      </c>
      <c r="G62">
        <v>2</v>
      </c>
      <c r="H62">
        <v>5.4</v>
      </c>
      <c r="I62">
        <v>61</v>
      </c>
    </row>
    <row r="63" spans="1:9" x14ac:dyDescent="0.2">
      <c r="A63" s="5">
        <v>45689</v>
      </c>
      <c r="B63" t="s">
        <v>124</v>
      </c>
      <c r="C63">
        <v>70</v>
      </c>
      <c r="D63">
        <v>12.42</v>
      </c>
      <c r="E63" s="6">
        <v>0.81174586018367501</v>
      </c>
      <c r="F63">
        <v>95</v>
      </c>
      <c r="G63">
        <v>2</v>
      </c>
      <c r="H63">
        <v>5.8</v>
      </c>
      <c r="I63">
        <v>58</v>
      </c>
    </row>
    <row r="64" spans="1:9" x14ac:dyDescent="0.2">
      <c r="A64" s="5">
        <v>45717</v>
      </c>
      <c r="B64" t="s">
        <v>124</v>
      </c>
      <c r="C64">
        <v>72</v>
      </c>
      <c r="D64">
        <v>13.09</v>
      </c>
      <c r="E64" s="6">
        <v>0.81776670230389936</v>
      </c>
      <c r="F64">
        <v>67</v>
      </c>
      <c r="G64">
        <v>1</v>
      </c>
      <c r="H64">
        <v>5.0999999999999996</v>
      </c>
      <c r="I64">
        <v>54</v>
      </c>
    </row>
    <row r="65" spans="1:9" x14ac:dyDescent="0.2">
      <c r="A65" s="5">
        <v>45748</v>
      </c>
      <c r="B65" t="s">
        <v>124</v>
      </c>
      <c r="C65">
        <v>72</v>
      </c>
      <c r="D65">
        <v>11.15</v>
      </c>
      <c r="E65" s="6">
        <v>0.83022808048608199</v>
      </c>
      <c r="F65">
        <v>64</v>
      </c>
      <c r="G65">
        <v>2</v>
      </c>
      <c r="H65">
        <v>4.9000000000000004</v>
      </c>
      <c r="I65">
        <v>50</v>
      </c>
    </row>
    <row r="66" spans="1:9" x14ac:dyDescent="0.2">
      <c r="A66" s="5">
        <v>45778</v>
      </c>
      <c r="B66" t="s">
        <v>124</v>
      </c>
      <c r="C66">
        <v>66</v>
      </c>
      <c r="D66">
        <v>12.07</v>
      </c>
      <c r="E66" s="6">
        <v>0.76045225661402571</v>
      </c>
      <c r="F66">
        <v>112</v>
      </c>
      <c r="G66">
        <v>1</v>
      </c>
      <c r="H66">
        <v>4.8</v>
      </c>
      <c r="I66">
        <v>59</v>
      </c>
    </row>
    <row r="67" spans="1:9" x14ac:dyDescent="0.2">
      <c r="A67" s="5">
        <v>45809</v>
      </c>
      <c r="B67" t="s">
        <v>124</v>
      </c>
      <c r="C67">
        <v>80</v>
      </c>
      <c r="D67">
        <v>11.14</v>
      </c>
      <c r="E67" s="6">
        <v>0.87750298879169064</v>
      </c>
      <c r="F67">
        <v>78</v>
      </c>
      <c r="G67">
        <v>1</v>
      </c>
      <c r="H67">
        <v>4.7</v>
      </c>
      <c r="I67">
        <v>45</v>
      </c>
    </row>
    <row r="68" spans="1:9" x14ac:dyDescent="0.2">
      <c r="A68" s="5">
        <v>45839</v>
      </c>
      <c r="B68" t="s">
        <v>124</v>
      </c>
      <c r="C68">
        <v>75</v>
      </c>
      <c r="D68">
        <v>11.54</v>
      </c>
      <c r="E68" s="6">
        <v>0.80050694723261984</v>
      </c>
      <c r="F68">
        <v>78</v>
      </c>
      <c r="G68">
        <v>1</v>
      </c>
      <c r="H68">
        <v>4</v>
      </c>
      <c r="I68">
        <v>50</v>
      </c>
    </row>
    <row r="69" spans="1:9" x14ac:dyDescent="0.2">
      <c r="A69" s="5">
        <v>45870</v>
      </c>
      <c r="B69" t="s">
        <v>124</v>
      </c>
      <c r="C69">
        <v>70</v>
      </c>
      <c r="D69">
        <v>12.55</v>
      </c>
      <c r="E69" s="6">
        <v>0.81652653279257636</v>
      </c>
      <c r="F69">
        <v>76</v>
      </c>
      <c r="G69">
        <v>2</v>
      </c>
      <c r="H69">
        <v>4.5999999999999996</v>
      </c>
      <c r="I69">
        <v>53</v>
      </c>
    </row>
    <row r="70" spans="1:9" x14ac:dyDescent="0.2">
      <c r="A70" s="5">
        <v>45901</v>
      </c>
      <c r="B70" t="s">
        <v>124</v>
      </c>
      <c r="C70">
        <v>71</v>
      </c>
      <c r="D70">
        <v>14.88</v>
      </c>
      <c r="E70" s="6">
        <v>0.73012121427362708</v>
      </c>
      <c r="F70">
        <v>74</v>
      </c>
      <c r="G70">
        <v>1</v>
      </c>
      <c r="H70">
        <v>5.7</v>
      </c>
      <c r="I70">
        <v>69</v>
      </c>
    </row>
    <row r="71" spans="1:9" x14ac:dyDescent="0.2">
      <c r="A71" s="5">
        <v>45931</v>
      </c>
      <c r="B71" t="s">
        <v>124</v>
      </c>
      <c r="C71">
        <v>79</v>
      </c>
      <c r="D71">
        <v>11.69</v>
      </c>
      <c r="E71" s="6">
        <v>0.79640436877055421</v>
      </c>
      <c r="F71">
        <v>53</v>
      </c>
      <c r="G71">
        <v>1</v>
      </c>
      <c r="H71">
        <v>4.9000000000000004</v>
      </c>
      <c r="I71">
        <v>55</v>
      </c>
    </row>
    <row r="72" spans="1:9" x14ac:dyDescent="0.2">
      <c r="A72" s="5">
        <v>45962</v>
      </c>
      <c r="B72" t="s">
        <v>124</v>
      </c>
      <c r="C72">
        <v>74</v>
      </c>
      <c r="D72">
        <v>11.52</v>
      </c>
      <c r="E72" s="6">
        <v>0.83189256846536763</v>
      </c>
      <c r="F72">
        <v>95</v>
      </c>
      <c r="G72">
        <v>1</v>
      </c>
      <c r="H72">
        <v>4.8</v>
      </c>
      <c r="I72">
        <v>54</v>
      </c>
    </row>
    <row r="73" spans="1:9" x14ac:dyDescent="0.2">
      <c r="A73" s="5">
        <v>45992</v>
      </c>
      <c r="B73" t="s">
        <v>124</v>
      </c>
      <c r="C73">
        <v>66</v>
      </c>
      <c r="D73">
        <v>14.88</v>
      </c>
      <c r="E73" s="6">
        <v>0.74944984429923234</v>
      </c>
      <c r="F73">
        <v>124</v>
      </c>
      <c r="G73">
        <v>1</v>
      </c>
      <c r="H73">
        <v>7</v>
      </c>
      <c r="I73">
        <v>68</v>
      </c>
    </row>
    <row r="74" spans="1:9" x14ac:dyDescent="0.2">
      <c r="A74" s="5">
        <v>45658</v>
      </c>
      <c r="B74" t="s">
        <v>133</v>
      </c>
      <c r="C74">
        <v>63</v>
      </c>
      <c r="D74">
        <v>12.7</v>
      </c>
      <c r="E74" s="6">
        <v>0.70827591844134474</v>
      </c>
      <c r="F74">
        <v>106</v>
      </c>
      <c r="G74">
        <v>3</v>
      </c>
      <c r="H74">
        <v>5.3</v>
      </c>
      <c r="I74">
        <v>64</v>
      </c>
    </row>
    <row r="75" spans="1:9" x14ac:dyDescent="0.2">
      <c r="A75" s="5">
        <v>45689</v>
      </c>
      <c r="B75" t="s">
        <v>133</v>
      </c>
      <c r="C75">
        <v>65</v>
      </c>
      <c r="D75">
        <v>14.37</v>
      </c>
      <c r="E75" s="6">
        <v>0.77759047700048445</v>
      </c>
      <c r="F75">
        <v>100</v>
      </c>
      <c r="G75">
        <v>2</v>
      </c>
      <c r="H75">
        <v>5.9</v>
      </c>
      <c r="I75">
        <v>61</v>
      </c>
    </row>
    <row r="76" spans="1:9" x14ac:dyDescent="0.2">
      <c r="A76" s="5">
        <v>45717</v>
      </c>
      <c r="B76" t="s">
        <v>133</v>
      </c>
      <c r="C76">
        <v>79</v>
      </c>
      <c r="D76">
        <v>11.92</v>
      </c>
      <c r="E76" s="6">
        <v>0.80962406147135424</v>
      </c>
      <c r="F76">
        <v>126</v>
      </c>
      <c r="G76">
        <v>1</v>
      </c>
      <c r="H76">
        <v>4.9000000000000004</v>
      </c>
      <c r="I76">
        <v>52</v>
      </c>
    </row>
    <row r="77" spans="1:9" x14ac:dyDescent="0.2">
      <c r="A77" s="5">
        <v>45748</v>
      </c>
      <c r="B77" t="s">
        <v>133</v>
      </c>
      <c r="C77">
        <v>71</v>
      </c>
      <c r="D77">
        <v>11.63</v>
      </c>
      <c r="E77" s="6">
        <v>0.76942735564647347</v>
      </c>
      <c r="F77">
        <v>123</v>
      </c>
      <c r="G77">
        <v>1</v>
      </c>
      <c r="H77">
        <v>4.4000000000000004</v>
      </c>
      <c r="I77">
        <v>56</v>
      </c>
    </row>
    <row r="78" spans="1:9" x14ac:dyDescent="0.2">
      <c r="A78" s="5">
        <v>45778</v>
      </c>
      <c r="B78" t="s">
        <v>133</v>
      </c>
      <c r="C78">
        <v>70</v>
      </c>
      <c r="D78">
        <v>13.16</v>
      </c>
      <c r="E78" s="6">
        <v>0.78788156498218742</v>
      </c>
      <c r="F78">
        <v>103</v>
      </c>
      <c r="G78">
        <v>2</v>
      </c>
      <c r="H78">
        <v>5.5</v>
      </c>
      <c r="I78">
        <v>55</v>
      </c>
    </row>
    <row r="79" spans="1:9" x14ac:dyDescent="0.2">
      <c r="A79" s="5">
        <v>45809</v>
      </c>
      <c r="B79" t="s">
        <v>133</v>
      </c>
      <c r="C79">
        <v>69</v>
      </c>
      <c r="D79">
        <v>10.3</v>
      </c>
      <c r="E79" s="6">
        <v>0.78701513066760465</v>
      </c>
      <c r="F79">
        <v>138</v>
      </c>
      <c r="G79">
        <v>2</v>
      </c>
      <c r="H79">
        <v>4.4000000000000004</v>
      </c>
      <c r="I79">
        <v>52</v>
      </c>
    </row>
    <row r="80" spans="1:9" x14ac:dyDescent="0.2">
      <c r="A80" s="5">
        <v>45839</v>
      </c>
      <c r="B80" t="s">
        <v>133</v>
      </c>
      <c r="C80">
        <v>63</v>
      </c>
      <c r="D80">
        <v>14.76</v>
      </c>
      <c r="E80" s="6">
        <v>0.7951454118970166</v>
      </c>
      <c r="F80">
        <v>181</v>
      </c>
      <c r="G80">
        <v>2</v>
      </c>
      <c r="H80">
        <v>6.9</v>
      </c>
      <c r="I80">
        <v>60</v>
      </c>
    </row>
    <row r="81" spans="1:9" x14ac:dyDescent="0.2">
      <c r="A81" s="5">
        <v>45870</v>
      </c>
      <c r="B81" t="s">
        <v>133</v>
      </c>
      <c r="C81">
        <v>69</v>
      </c>
      <c r="D81">
        <v>11.75</v>
      </c>
      <c r="E81" s="6">
        <v>0.73259357325152008</v>
      </c>
      <c r="F81">
        <v>147</v>
      </c>
      <c r="G81">
        <v>2</v>
      </c>
      <c r="H81">
        <v>5.8</v>
      </c>
      <c r="I81">
        <v>61</v>
      </c>
    </row>
    <row r="82" spans="1:9" x14ac:dyDescent="0.2">
      <c r="A82" s="5">
        <v>45901</v>
      </c>
      <c r="B82" t="s">
        <v>133</v>
      </c>
      <c r="C82">
        <v>68</v>
      </c>
      <c r="D82">
        <v>13.02</v>
      </c>
      <c r="E82" s="6">
        <v>0.7922086107718499</v>
      </c>
      <c r="F82">
        <v>60</v>
      </c>
      <c r="G82">
        <v>2</v>
      </c>
      <c r="H82">
        <v>6.5</v>
      </c>
      <c r="I82">
        <v>53</v>
      </c>
    </row>
    <row r="83" spans="1:9" x14ac:dyDescent="0.2">
      <c r="A83" s="5">
        <v>45931</v>
      </c>
      <c r="B83" t="s">
        <v>133</v>
      </c>
      <c r="C83">
        <v>65</v>
      </c>
      <c r="D83">
        <v>14.26</v>
      </c>
      <c r="E83" s="6">
        <v>0.78856393161381511</v>
      </c>
      <c r="F83">
        <v>95</v>
      </c>
      <c r="G83">
        <v>2</v>
      </c>
      <c r="H83">
        <v>5.6</v>
      </c>
      <c r="I83">
        <v>56</v>
      </c>
    </row>
    <row r="84" spans="1:9" x14ac:dyDescent="0.2">
      <c r="A84" s="5">
        <v>45962</v>
      </c>
      <c r="B84" t="s">
        <v>133</v>
      </c>
      <c r="C84">
        <v>66</v>
      </c>
      <c r="D84">
        <v>13.23</v>
      </c>
      <c r="E84" s="6">
        <v>0.82875943451117828</v>
      </c>
      <c r="F84">
        <v>153</v>
      </c>
      <c r="G84">
        <v>3</v>
      </c>
      <c r="H84">
        <v>5</v>
      </c>
      <c r="I84">
        <v>54</v>
      </c>
    </row>
    <row r="85" spans="1:9" x14ac:dyDescent="0.2">
      <c r="A85" s="5">
        <v>45992</v>
      </c>
      <c r="B85" t="s">
        <v>133</v>
      </c>
      <c r="C85">
        <v>75</v>
      </c>
      <c r="D85">
        <v>11.49</v>
      </c>
      <c r="E85" s="6">
        <v>0.82701439854133973</v>
      </c>
      <c r="F85">
        <v>69</v>
      </c>
      <c r="G85">
        <v>2</v>
      </c>
      <c r="H85">
        <v>5</v>
      </c>
      <c r="I85">
        <v>54</v>
      </c>
    </row>
    <row r="86" spans="1:9" x14ac:dyDescent="0.2">
      <c r="A86" s="5">
        <v>45658</v>
      </c>
      <c r="B86" t="s">
        <v>61</v>
      </c>
      <c r="C86">
        <v>68</v>
      </c>
      <c r="D86">
        <v>12.62</v>
      </c>
      <c r="E86" s="6">
        <v>0.79668815765124301</v>
      </c>
      <c r="F86">
        <v>178</v>
      </c>
      <c r="G86">
        <v>1</v>
      </c>
      <c r="H86">
        <v>6.2</v>
      </c>
      <c r="I86">
        <v>59</v>
      </c>
    </row>
    <row r="87" spans="1:9" x14ac:dyDescent="0.2">
      <c r="A87" s="5">
        <v>45689</v>
      </c>
      <c r="B87" t="s">
        <v>61</v>
      </c>
      <c r="C87">
        <v>74</v>
      </c>
      <c r="D87">
        <v>11.38</v>
      </c>
      <c r="E87" s="6">
        <v>0.79758858615831285</v>
      </c>
      <c r="F87">
        <v>55</v>
      </c>
      <c r="G87">
        <v>1</v>
      </c>
      <c r="H87">
        <v>4.7</v>
      </c>
      <c r="I87">
        <v>50</v>
      </c>
    </row>
    <row r="88" spans="1:9" x14ac:dyDescent="0.2">
      <c r="A88" s="5">
        <v>45717</v>
      </c>
      <c r="B88" t="s">
        <v>61</v>
      </c>
      <c r="C88">
        <v>72</v>
      </c>
      <c r="D88">
        <v>12.89</v>
      </c>
      <c r="E88" s="6">
        <v>0.77092018042186483</v>
      </c>
      <c r="F88">
        <v>94</v>
      </c>
      <c r="G88">
        <v>2</v>
      </c>
      <c r="H88">
        <v>5.8</v>
      </c>
      <c r="I88">
        <v>62</v>
      </c>
    </row>
    <row r="89" spans="1:9" x14ac:dyDescent="0.2">
      <c r="A89" s="5">
        <v>45748</v>
      </c>
      <c r="B89" t="s">
        <v>61</v>
      </c>
      <c r="C89">
        <v>71</v>
      </c>
      <c r="D89">
        <v>12.8</v>
      </c>
      <c r="E89" s="6">
        <v>0.80555965264598006</v>
      </c>
      <c r="F89">
        <v>188</v>
      </c>
      <c r="G89">
        <v>1</v>
      </c>
      <c r="H89">
        <v>6</v>
      </c>
      <c r="I89">
        <v>56</v>
      </c>
    </row>
    <row r="90" spans="1:9" x14ac:dyDescent="0.2">
      <c r="A90" s="5">
        <v>45778</v>
      </c>
      <c r="B90" t="s">
        <v>61</v>
      </c>
      <c r="C90">
        <v>67</v>
      </c>
      <c r="D90">
        <v>14.34</v>
      </c>
      <c r="E90" s="6">
        <v>0.75009155625616963</v>
      </c>
      <c r="F90">
        <v>182</v>
      </c>
      <c r="G90">
        <v>2</v>
      </c>
      <c r="H90">
        <v>6.3</v>
      </c>
      <c r="I90">
        <v>62</v>
      </c>
    </row>
    <row r="91" spans="1:9" x14ac:dyDescent="0.2">
      <c r="A91" s="5">
        <v>45809</v>
      </c>
      <c r="B91" t="s">
        <v>61</v>
      </c>
      <c r="C91">
        <v>70</v>
      </c>
      <c r="D91">
        <v>13.08</v>
      </c>
      <c r="E91" s="6">
        <v>0.77035521022985687</v>
      </c>
      <c r="F91">
        <v>101</v>
      </c>
      <c r="G91">
        <v>1</v>
      </c>
      <c r="H91">
        <v>5.4</v>
      </c>
      <c r="I91">
        <v>63</v>
      </c>
    </row>
    <row r="92" spans="1:9" x14ac:dyDescent="0.2">
      <c r="A92" s="5">
        <v>45839</v>
      </c>
      <c r="B92" t="s">
        <v>61</v>
      </c>
      <c r="C92">
        <v>69</v>
      </c>
      <c r="D92">
        <v>10.81</v>
      </c>
      <c r="E92" s="6">
        <v>0.7991720021100549</v>
      </c>
      <c r="F92">
        <v>109</v>
      </c>
      <c r="G92">
        <v>1</v>
      </c>
      <c r="H92">
        <v>4.5999999999999996</v>
      </c>
      <c r="I92">
        <v>54</v>
      </c>
    </row>
    <row r="93" spans="1:9" x14ac:dyDescent="0.2">
      <c r="A93" s="5">
        <v>45870</v>
      </c>
      <c r="B93" t="s">
        <v>61</v>
      </c>
      <c r="C93">
        <v>73</v>
      </c>
      <c r="D93">
        <v>11.49</v>
      </c>
      <c r="E93" s="6">
        <v>0.85098655201445339</v>
      </c>
      <c r="F93">
        <v>74</v>
      </c>
      <c r="G93">
        <v>2</v>
      </c>
      <c r="H93">
        <v>4.7</v>
      </c>
      <c r="I93">
        <v>47</v>
      </c>
    </row>
    <row r="94" spans="1:9" x14ac:dyDescent="0.2">
      <c r="A94" s="5">
        <v>45901</v>
      </c>
      <c r="B94" t="s">
        <v>61</v>
      </c>
      <c r="C94">
        <v>66</v>
      </c>
      <c r="D94">
        <v>12.08</v>
      </c>
      <c r="E94" s="6">
        <v>0.74926927930830911</v>
      </c>
      <c r="F94">
        <v>178</v>
      </c>
      <c r="G94">
        <v>2</v>
      </c>
      <c r="H94">
        <v>5.6</v>
      </c>
      <c r="I94">
        <v>60</v>
      </c>
    </row>
    <row r="95" spans="1:9" x14ac:dyDescent="0.2">
      <c r="A95" s="5">
        <v>45931</v>
      </c>
      <c r="B95" t="s">
        <v>61</v>
      </c>
      <c r="C95">
        <v>72</v>
      </c>
      <c r="D95">
        <v>13.2</v>
      </c>
      <c r="E95" s="6">
        <v>0.78305615804161366</v>
      </c>
      <c r="F95">
        <v>170</v>
      </c>
      <c r="G95">
        <v>1</v>
      </c>
      <c r="H95">
        <v>4.5</v>
      </c>
      <c r="I95">
        <v>55</v>
      </c>
    </row>
    <row r="96" spans="1:9" x14ac:dyDescent="0.2">
      <c r="A96" s="5">
        <v>45962</v>
      </c>
      <c r="B96" t="s">
        <v>61</v>
      </c>
      <c r="C96">
        <v>80</v>
      </c>
      <c r="D96">
        <v>11.99</v>
      </c>
      <c r="E96" s="6">
        <v>0.82444667610273148</v>
      </c>
      <c r="F96">
        <v>85</v>
      </c>
      <c r="G96">
        <v>2</v>
      </c>
      <c r="H96">
        <v>4.0999999999999996</v>
      </c>
      <c r="I96">
        <v>50</v>
      </c>
    </row>
    <row r="97" spans="1:9" x14ac:dyDescent="0.2">
      <c r="A97" s="5">
        <v>45992</v>
      </c>
      <c r="B97" t="s">
        <v>61</v>
      </c>
      <c r="C97">
        <v>73</v>
      </c>
      <c r="D97">
        <v>10.76</v>
      </c>
      <c r="E97" s="6">
        <v>0.81093875182097164</v>
      </c>
      <c r="F97">
        <v>104</v>
      </c>
      <c r="G97">
        <v>2</v>
      </c>
      <c r="H97">
        <v>4.9000000000000004</v>
      </c>
      <c r="I97">
        <v>52</v>
      </c>
    </row>
    <row r="98" spans="1:9" x14ac:dyDescent="0.2">
      <c r="A98" s="5">
        <v>45658</v>
      </c>
      <c r="B98" t="s">
        <v>96</v>
      </c>
      <c r="C98">
        <v>76</v>
      </c>
      <c r="D98">
        <v>10.82</v>
      </c>
      <c r="E98" s="6">
        <v>0.77661175943381755</v>
      </c>
      <c r="F98">
        <v>247</v>
      </c>
      <c r="G98">
        <v>3</v>
      </c>
      <c r="H98">
        <v>5.6</v>
      </c>
      <c r="I98">
        <v>58</v>
      </c>
    </row>
    <row r="99" spans="1:9" x14ac:dyDescent="0.2">
      <c r="A99" s="5">
        <v>45689</v>
      </c>
      <c r="B99" t="s">
        <v>96</v>
      </c>
      <c r="C99">
        <v>84</v>
      </c>
      <c r="D99">
        <v>10.68</v>
      </c>
      <c r="E99" s="6">
        <v>0.86217463359672053</v>
      </c>
      <c r="F99">
        <v>250</v>
      </c>
      <c r="G99">
        <v>1</v>
      </c>
      <c r="H99">
        <v>5.5</v>
      </c>
      <c r="I99">
        <v>49</v>
      </c>
    </row>
    <row r="100" spans="1:9" x14ac:dyDescent="0.2">
      <c r="A100" s="5">
        <v>45717</v>
      </c>
      <c r="B100" t="s">
        <v>96</v>
      </c>
      <c r="C100">
        <v>80</v>
      </c>
      <c r="D100">
        <v>10.24</v>
      </c>
      <c r="E100" s="6">
        <v>0.86575090533840382</v>
      </c>
      <c r="F100">
        <v>206</v>
      </c>
      <c r="G100">
        <v>2</v>
      </c>
      <c r="H100">
        <v>4.5</v>
      </c>
      <c r="I100">
        <v>51</v>
      </c>
    </row>
    <row r="101" spans="1:9" x14ac:dyDescent="0.2">
      <c r="A101" s="5">
        <v>45748</v>
      </c>
      <c r="B101" t="s">
        <v>96</v>
      </c>
      <c r="C101">
        <v>82</v>
      </c>
      <c r="D101">
        <v>10.6</v>
      </c>
      <c r="E101" s="6">
        <v>0.8101486598399017</v>
      </c>
      <c r="F101">
        <v>152</v>
      </c>
      <c r="G101">
        <v>3</v>
      </c>
      <c r="H101">
        <v>5.2</v>
      </c>
      <c r="I101">
        <v>52</v>
      </c>
    </row>
    <row r="102" spans="1:9" x14ac:dyDescent="0.2">
      <c r="A102" s="5">
        <v>45778</v>
      </c>
      <c r="B102" t="s">
        <v>96</v>
      </c>
      <c r="C102">
        <v>76</v>
      </c>
      <c r="D102">
        <v>11.61</v>
      </c>
      <c r="E102" s="6">
        <v>0.79252532022660349</v>
      </c>
      <c r="F102">
        <v>143</v>
      </c>
      <c r="G102">
        <v>2</v>
      </c>
      <c r="H102">
        <v>5.2</v>
      </c>
      <c r="I102">
        <v>55</v>
      </c>
    </row>
    <row r="103" spans="1:9" x14ac:dyDescent="0.2">
      <c r="A103" s="5">
        <v>45809</v>
      </c>
      <c r="B103" t="s">
        <v>96</v>
      </c>
      <c r="C103">
        <v>83</v>
      </c>
      <c r="D103">
        <v>10.77</v>
      </c>
      <c r="E103" s="6">
        <v>0.8490112100468229</v>
      </c>
      <c r="F103">
        <v>248</v>
      </c>
      <c r="G103">
        <v>2</v>
      </c>
      <c r="H103">
        <v>4.3</v>
      </c>
      <c r="I103">
        <v>47</v>
      </c>
    </row>
    <row r="104" spans="1:9" x14ac:dyDescent="0.2">
      <c r="A104" s="5">
        <v>45839</v>
      </c>
      <c r="B104" t="s">
        <v>96</v>
      </c>
      <c r="C104">
        <v>79</v>
      </c>
      <c r="D104">
        <v>10.76</v>
      </c>
      <c r="E104" s="6">
        <v>0.81394724498464266</v>
      </c>
      <c r="F104">
        <v>106</v>
      </c>
      <c r="G104">
        <v>3</v>
      </c>
      <c r="H104">
        <v>5.4</v>
      </c>
      <c r="I104">
        <v>56</v>
      </c>
    </row>
    <row r="105" spans="1:9" x14ac:dyDescent="0.2">
      <c r="A105" s="5">
        <v>45870</v>
      </c>
      <c r="B105" t="s">
        <v>96</v>
      </c>
      <c r="C105">
        <v>72</v>
      </c>
      <c r="D105">
        <v>12.51</v>
      </c>
      <c r="E105" s="6">
        <v>0.77486614971296375</v>
      </c>
      <c r="F105">
        <v>154</v>
      </c>
      <c r="G105">
        <v>2</v>
      </c>
      <c r="H105">
        <v>6.6</v>
      </c>
      <c r="I105">
        <v>62</v>
      </c>
    </row>
    <row r="106" spans="1:9" x14ac:dyDescent="0.2">
      <c r="A106" s="5">
        <v>45901</v>
      </c>
      <c r="B106" t="s">
        <v>96</v>
      </c>
      <c r="C106">
        <v>76</v>
      </c>
      <c r="D106">
        <v>12.11</v>
      </c>
      <c r="E106" s="6">
        <v>0.78660800235727713</v>
      </c>
      <c r="F106">
        <v>280</v>
      </c>
      <c r="G106">
        <v>1</v>
      </c>
      <c r="H106">
        <v>5.6</v>
      </c>
      <c r="I106">
        <v>60</v>
      </c>
    </row>
    <row r="107" spans="1:9" x14ac:dyDescent="0.2">
      <c r="A107" s="5">
        <v>45931</v>
      </c>
      <c r="B107" t="s">
        <v>96</v>
      </c>
      <c r="C107">
        <v>79</v>
      </c>
      <c r="D107">
        <v>9.9700000000000006</v>
      </c>
      <c r="E107" s="6">
        <v>0.80924460018436983</v>
      </c>
      <c r="F107">
        <v>247</v>
      </c>
      <c r="G107">
        <v>1</v>
      </c>
      <c r="H107">
        <v>5.2</v>
      </c>
      <c r="I107">
        <v>51</v>
      </c>
    </row>
    <row r="108" spans="1:9" x14ac:dyDescent="0.2">
      <c r="A108" s="5">
        <v>45962</v>
      </c>
      <c r="B108" t="s">
        <v>96</v>
      </c>
      <c r="C108">
        <v>87</v>
      </c>
      <c r="D108">
        <v>8.9</v>
      </c>
      <c r="E108" s="6">
        <v>0.84939257394828893</v>
      </c>
      <c r="F108">
        <v>235</v>
      </c>
      <c r="G108">
        <v>2</v>
      </c>
      <c r="H108">
        <v>4.4000000000000004</v>
      </c>
      <c r="I108">
        <v>48</v>
      </c>
    </row>
    <row r="109" spans="1:9" x14ac:dyDescent="0.2">
      <c r="A109" s="5">
        <v>45992</v>
      </c>
      <c r="B109" t="s">
        <v>96</v>
      </c>
      <c r="C109">
        <v>69</v>
      </c>
      <c r="D109">
        <v>14.36</v>
      </c>
      <c r="E109" s="6">
        <v>0.78885142976888034</v>
      </c>
      <c r="F109">
        <v>221</v>
      </c>
      <c r="G109">
        <v>2</v>
      </c>
      <c r="H109">
        <v>6.9</v>
      </c>
      <c r="I109">
        <v>63</v>
      </c>
    </row>
    <row r="110" spans="1:9" x14ac:dyDescent="0.2">
      <c r="A110" s="5">
        <v>45658</v>
      </c>
      <c r="B110" t="s">
        <v>143</v>
      </c>
      <c r="C110">
        <v>69</v>
      </c>
      <c r="D110">
        <v>14.34</v>
      </c>
      <c r="E110" s="6">
        <v>0.79936491251644159</v>
      </c>
      <c r="F110">
        <v>115</v>
      </c>
      <c r="G110">
        <v>2</v>
      </c>
      <c r="H110">
        <v>5.8</v>
      </c>
      <c r="I110">
        <v>59</v>
      </c>
    </row>
    <row r="111" spans="1:9" x14ac:dyDescent="0.2">
      <c r="A111" s="5">
        <v>45689</v>
      </c>
      <c r="B111" t="s">
        <v>143</v>
      </c>
      <c r="C111">
        <v>77</v>
      </c>
      <c r="D111">
        <v>13.85</v>
      </c>
      <c r="E111" s="6">
        <v>0.83787623471586581</v>
      </c>
      <c r="F111">
        <v>102</v>
      </c>
      <c r="G111">
        <v>2</v>
      </c>
      <c r="H111">
        <v>4.7</v>
      </c>
      <c r="I111">
        <v>58</v>
      </c>
    </row>
    <row r="112" spans="1:9" x14ac:dyDescent="0.2">
      <c r="A112" s="5">
        <v>45717</v>
      </c>
      <c r="B112" t="s">
        <v>143</v>
      </c>
      <c r="C112">
        <v>74</v>
      </c>
      <c r="D112">
        <v>13.98</v>
      </c>
      <c r="E112" s="6">
        <v>0.78117730537567809</v>
      </c>
      <c r="F112">
        <v>96</v>
      </c>
      <c r="G112">
        <v>1</v>
      </c>
      <c r="H112">
        <v>6.6</v>
      </c>
      <c r="I112">
        <v>62</v>
      </c>
    </row>
    <row r="113" spans="1:9" x14ac:dyDescent="0.2">
      <c r="A113" s="5">
        <v>45748</v>
      </c>
      <c r="B113" t="s">
        <v>143</v>
      </c>
      <c r="C113">
        <v>73</v>
      </c>
      <c r="D113">
        <v>11.91</v>
      </c>
      <c r="E113" s="6">
        <v>0.79724696589303257</v>
      </c>
      <c r="F113">
        <v>110</v>
      </c>
      <c r="G113">
        <v>2</v>
      </c>
      <c r="H113">
        <v>6.4</v>
      </c>
      <c r="I113">
        <v>57</v>
      </c>
    </row>
    <row r="114" spans="1:9" x14ac:dyDescent="0.2">
      <c r="A114" s="5">
        <v>45778</v>
      </c>
      <c r="B114" t="s">
        <v>143</v>
      </c>
      <c r="C114">
        <v>72</v>
      </c>
      <c r="D114">
        <v>13.71</v>
      </c>
      <c r="E114" s="6">
        <v>0.76750607197954834</v>
      </c>
      <c r="F114">
        <v>171</v>
      </c>
      <c r="G114">
        <v>2</v>
      </c>
      <c r="H114">
        <v>5.8</v>
      </c>
      <c r="I114">
        <v>61</v>
      </c>
    </row>
    <row r="115" spans="1:9" x14ac:dyDescent="0.2">
      <c r="A115" s="5">
        <v>45809</v>
      </c>
      <c r="B115" t="s">
        <v>143</v>
      </c>
      <c r="C115">
        <v>87</v>
      </c>
      <c r="D115">
        <v>9.4700000000000006</v>
      </c>
      <c r="E115" s="6">
        <v>0.89003651144762397</v>
      </c>
      <c r="F115">
        <v>95</v>
      </c>
      <c r="G115">
        <v>1</v>
      </c>
      <c r="H115">
        <v>4</v>
      </c>
      <c r="I115">
        <v>45</v>
      </c>
    </row>
    <row r="116" spans="1:9" x14ac:dyDescent="0.2">
      <c r="A116" s="5">
        <v>45839</v>
      </c>
      <c r="B116" t="s">
        <v>143</v>
      </c>
      <c r="C116">
        <v>82</v>
      </c>
      <c r="D116">
        <v>10.75</v>
      </c>
      <c r="E116" s="6">
        <v>0.85416808033022107</v>
      </c>
      <c r="F116">
        <v>124</v>
      </c>
      <c r="G116">
        <v>2</v>
      </c>
      <c r="H116">
        <v>4.7</v>
      </c>
      <c r="I116">
        <v>50</v>
      </c>
    </row>
    <row r="117" spans="1:9" x14ac:dyDescent="0.2">
      <c r="A117" s="5">
        <v>45870</v>
      </c>
      <c r="B117" t="s">
        <v>143</v>
      </c>
      <c r="C117">
        <v>71</v>
      </c>
      <c r="D117">
        <v>12.61</v>
      </c>
      <c r="E117" s="6">
        <v>0.79514627437661145</v>
      </c>
      <c r="F117">
        <v>146</v>
      </c>
      <c r="G117">
        <v>2</v>
      </c>
      <c r="H117">
        <v>5.5</v>
      </c>
      <c r="I117">
        <v>56</v>
      </c>
    </row>
    <row r="118" spans="1:9" x14ac:dyDescent="0.2">
      <c r="A118" s="5">
        <v>45901</v>
      </c>
      <c r="B118" t="s">
        <v>143</v>
      </c>
      <c r="C118">
        <v>78</v>
      </c>
      <c r="D118">
        <v>10.89</v>
      </c>
      <c r="E118" s="6">
        <v>0.79606186571536108</v>
      </c>
      <c r="F118">
        <v>186</v>
      </c>
      <c r="G118">
        <v>2</v>
      </c>
      <c r="H118">
        <v>6</v>
      </c>
      <c r="I118">
        <v>58</v>
      </c>
    </row>
    <row r="119" spans="1:9" x14ac:dyDescent="0.2">
      <c r="A119" s="5">
        <v>45931</v>
      </c>
      <c r="B119" t="s">
        <v>143</v>
      </c>
      <c r="C119">
        <v>71</v>
      </c>
      <c r="D119">
        <v>13.29</v>
      </c>
      <c r="E119" s="6">
        <v>0.8203180361460618</v>
      </c>
      <c r="F119">
        <v>184</v>
      </c>
      <c r="G119">
        <v>1</v>
      </c>
      <c r="H119">
        <v>5</v>
      </c>
      <c r="I119">
        <v>57</v>
      </c>
    </row>
    <row r="120" spans="1:9" x14ac:dyDescent="0.2">
      <c r="A120" s="5">
        <v>45962</v>
      </c>
      <c r="B120" t="s">
        <v>143</v>
      </c>
      <c r="C120">
        <v>70</v>
      </c>
      <c r="D120">
        <v>14.53</v>
      </c>
      <c r="E120" s="6">
        <v>0.75895623523004796</v>
      </c>
      <c r="F120">
        <v>103</v>
      </c>
      <c r="G120">
        <v>2</v>
      </c>
      <c r="H120">
        <v>5.2</v>
      </c>
      <c r="I120">
        <v>64</v>
      </c>
    </row>
    <row r="121" spans="1:9" x14ac:dyDescent="0.2">
      <c r="A121" s="5">
        <v>45992</v>
      </c>
      <c r="B121" t="s">
        <v>143</v>
      </c>
      <c r="C121">
        <v>73</v>
      </c>
      <c r="D121">
        <v>9.8699999999999992</v>
      </c>
      <c r="E121" s="6">
        <v>0.84623099008864744</v>
      </c>
      <c r="F121">
        <v>74</v>
      </c>
      <c r="G121">
        <v>2</v>
      </c>
      <c r="H121">
        <v>3.7</v>
      </c>
      <c r="I121">
        <v>47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21"/>
  <sheetViews>
    <sheetView topLeftCell="F1" zoomScaleNormal="60" zoomScaleSheetLayoutView="100" workbookViewId="0"/>
  </sheetViews>
  <sheetFormatPr defaultRowHeight="15" x14ac:dyDescent="0.2"/>
  <cols>
    <col min="1" max="26" width="16.0078125" customWidth="1"/>
  </cols>
  <sheetData>
    <row r="1" spans="1:26" ht="27.75" x14ac:dyDescent="0.2">
      <c r="A1" s="1" t="s">
        <v>1759</v>
      </c>
      <c r="B1" s="1" t="s">
        <v>35</v>
      </c>
      <c r="C1" s="1" t="s">
        <v>1773</v>
      </c>
      <c r="D1" s="1" t="s">
        <v>1774</v>
      </c>
      <c r="E1" s="1" t="s">
        <v>1775</v>
      </c>
      <c r="F1" s="1" t="s">
        <v>1769</v>
      </c>
      <c r="G1" s="1" t="s">
        <v>50</v>
      </c>
      <c r="H1" s="1" t="s">
        <v>1772</v>
      </c>
      <c r="I1" s="1" t="s">
        <v>1778</v>
      </c>
      <c r="J1" s="1" t="s">
        <v>1776</v>
      </c>
      <c r="K1" s="1" t="s">
        <v>1784</v>
      </c>
      <c r="L1" s="1" t="s">
        <v>1786</v>
      </c>
      <c r="M1" s="1" t="s">
        <v>1789</v>
      </c>
      <c r="N1" s="1" t="s">
        <v>1787</v>
      </c>
      <c r="O1" s="1" t="s">
        <v>1794</v>
      </c>
      <c r="P1" s="1" t="s">
        <v>1795</v>
      </c>
      <c r="Q1" s="1" t="s">
        <v>1796</v>
      </c>
      <c r="R1" s="1" t="s">
        <v>1797</v>
      </c>
      <c r="S1" s="1" t="s">
        <v>1800</v>
      </c>
      <c r="T1" s="1" t="s">
        <v>1801</v>
      </c>
      <c r="U1" s="1"/>
      <c r="V1" s="1"/>
      <c r="W1" s="1"/>
      <c r="X1" s="1"/>
      <c r="Y1" s="1"/>
      <c r="Z1" s="1"/>
    </row>
    <row r="2" spans="1:26" x14ac:dyDescent="0.2">
      <c r="A2" s="5">
        <v>45658</v>
      </c>
      <c r="B2" t="s">
        <v>89</v>
      </c>
      <c r="C2" s="6">
        <v>2.4096385542168676E-2</v>
      </c>
      <c r="D2" s="6">
        <v>2.710843373493976E-2</v>
      </c>
      <c r="E2" s="6">
        <v>6.2146892655367235E-2</v>
      </c>
      <c r="F2" s="6">
        <v>0.85942997902877183</v>
      </c>
      <c r="G2">
        <v>65</v>
      </c>
      <c r="H2" s="6">
        <v>0.46391997580052624</v>
      </c>
      <c r="I2" s="4">
        <v>2286671</v>
      </c>
      <c r="J2" s="4">
        <v>1557180</v>
      </c>
      <c r="K2" s="4">
        <v>9380.6024096385536</v>
      </c>
      <c r="L2">
        <v>0.28630703761057014</v>
      </c>
      <c r="M2">
        <v>63</v>
      </c>
      <c r="N2" s="6">
        <v>0.63085829926945569</v>
      </c>
      <c r="O2">
        <v>85</v>
      </c>
      <c r="P2">
        <v>11.32</v>
      </c>
      <c r="Q2" s="6">
        <v>0.89015404002464971</v>
      </c>
      <c r="R2">
        <v>319</v>
      </c>
      <c r="S2">
        <v>53</v>
      </c>
      <c r="T2">
        <v>77.5</v>
      </c>
    </row>
    <row r="3" spans="1:26" x14ac:dyDescent="0.2">
      <c r="A3" s="5">
        <v>45689</v>
      </c>
      <c r="B3" t="s">
        <v>89</v>
      </c>
      <c r="C3" s="6">
        <v>1.7857142857142856E-2</v>
      </c>
      <c r="D3" s="6">
        <v>1.5151515151515152E-2</v>
      </c>
      <c r="E3" s="6">
        <v>6.1452513966480445E-2</v>
      </c>
      <c r="F3" s="6">
        <v>0.83529952708897581</v>
      </c>
      <c r="G3">
        <v>52</v>
      </c>
      <c r="H3" s="6">
        <v>0.67296752502544965</v>
      </c>
      <c r="I3" s="4">
        <v>2314221</v>
      </c>
      <c r="J3" s="4">
        <v>1734891</v>
      </c>
      <c r="K3" s="4">
        <v>10326.732142857143</v>
      </c>
      <c r="L3">
        <v>0.31920028381040533</v>
      </c>
      <c r="M3">
        <v>64</v>
      </c>
      <c r="N3" s="6">
        <v>0.68120293737205173</v>
      </c>
      <c r="O3">
        <v>79</v>
      </c>
      <c r="P3">
        <v>10.76</v>
      </c>
      <c r="Q3" s="6">
        <v>0.79846425887747186</v>
      </c>
      <c r="R3">
        <v>241</v>
      </c>
      <c r="S3">
        <v>57</v>
      </c>
      <c r="T3">
        <v>78.099999999999994</v>
      </c>
    </row>
    <row r="4" spans="1:26" x14ac:dyDescent="0.2">
      <c r="A4" s="5">
        <v>45717</v>
      </c>
      <c r="B4" t="s">
        <v>89</v>
      </c>
      <c r="C4" s="6">
        <v>2.3809523809523808E-2</v>
      </c>
      <c r="D4" s="6">
        <v>2.2997835497835496E-2</v>
      </c>
      <c r="E4" s="6">
        <v>5.0847457627118647E-2</v>
      </c>
      <c r="F4" s="6">
        <v>0.72626060734457776</v>
      </c>
      <c r="G4">
        <v>51</v>
      </c>
      <c r="H4" s="6">
        <v>0.42483502487823743</v>
      </c>
      <c r="I4" s="4">
        <v>2314221</v>
      </c>
      <c r="J4" s="4">
        <v>1622235</v>
      </c>
      <c r="K4" s="4">
        <v>9656.1607142857138</v>
      </c>
      <c r="L4">
        <v>0.3526167120599113</v>
      </c>
      <c r="M4">
        <v>55</v>
      </c>
      <c r="N4" s="6">
        <v>0.66939214803729996</v>
      </c>
      <c r="O4">
        <v>74</v>
      </c>
      <c r="P4">
        <v>13.59</v>
      </c>
      <c r="Q4" s="6">
        <v>0.79212381886300631</v>
      </c>
      <c r="R4">
        <v>263</v>
      </c>
      <c r="S4">
        <v>58</v>
      </c>
      <c r="T4">
        <v>71.5</v>
      </c>
    </row>
    <row r="5" spans="1:26" x14ac:dyDescent="0.2">
      <c r="A5" s="5">
        <v>45748</v>
      </c>
      <c r="B5" t="s">
        <v>89</v>
      </c>
      <c r="C5" s="6">
        <v>1.7751479289940829E-2</v>
      </c>
      <c r="D5" s="6">
        <v>1.8289402904787519E-2</v>
      </c>
      <c r="E5" s="6">
        <v>3.4285714285714287E-2</v>
      </c>
      <c r="F5" s="6">
        <v>0.82935836136050978</v>
      </c>
      <c r="G5">
        <v>61</v>
      </c>
      <c r="H5" s="6">
        <v>0.83136157213833572</v>
      </c>
      <c r="I5" s="4">
        <v>2327996</v>
      </c>
      <c r="J5" s="4">
        <v>1710177</v>
      </c>
      <c r="K5" s="4">
        <v>10119.390532544379</v>
      </c>
      <c r="L5">
        <v>0.3258064017292126</v>
      </c>
      <c r="M5">
        <v>67</v>
      </c>
      <c r="N5" s="6">
        <v>0.70066510442184393</v>
      </c>
      <c r="O5">
        <v>71</v>
      </c>
      <c r="P5">
        <v>11.91</v>
      </c>
      <c r="Q5" s="6">
        <v>0.8199881590905711</v>
      </c>
      <c r="R5">
        <v>158</v>
      </c>
      <c r="S5">
        <v>53</v>
      </c>
      <c r="T5">
        <v>81.5</v>
      </c>
    </row>
    <row r="6" spans="1:26" x14ac:dyDescent="0.2">
      <c r="A6" s="5">
        <v>45778</v>
      </c>
      <c r="B6" t="s">
        <v>89</v>
      </c>
      <c r="C6" s="6">
        <v>2.3529411764705882E-2</v>
      </c>
      <c r="D6" s="6">
        <v>2.2459893048128343E-2</v>
      </c>
      <c r="E6" s="6">
        <v>5.027932960893855E-2</v>
      </c>
      <c r="F6" s="6">
        <v>0.7578253968009534</v>
      </c>
      <c r="G6">
        <v>62</v>
      </c>
      <c r="H6" s="6">
        <v>0.47857896275439227</v>
      </c>
      <c r="I6" s="4">
        <v>2341771</v>
      </c>
      <c r="J6" s="4">
        <v>1715575</v>
      </c>
      <c r="K6" s="4">
        <v>10091.617647058823</v>
      </c>
      <c r="L6">
        <v>0.41928224407937409</v>
      </c>
      <c r="M6">
        <v>71</v>
      </c>
      <c r="N6" s="6">
        <v>0.77373536986796199</v>
      </c>
      <c r="O6">
        <v>80</v>
      </c>
      <c r="P6">
        <v>11.93</v>
      </c>
      <c r="Q6" s="6">
        <v>0.83394450603390169</v>
      </c>
      <c r="R6">
        <v>387</v>
      </c>
      <c r="S6">
        <v>54</v>
      </c>
      <c r="T6">
        <v>75.5</v>
      </c>
    </row>
    <row r="7" spans="1:26" x14ac:dyDescent="0.2">
      <c r="A7" s="5">
        <v>45809</v>
      </c>
      <c r="B7" t="s">
        <v>89</v>
      </c>
      <c r="C7" s="6">
        <v>1.7751479289940829E-2</v>
      </c>
      <c r="D7" s="6">
        <v>1.5330823023130715E-2</v>
      </c>
      <c r="E7" s="6">
        <v>7.1428571428571425E-2</v>
      </c>
      <c r="F7" s="6">
        <v>0.83911526176286089</v>
      </c>
      <c r="G7">
        <v>67</v>
      </c>
      <c r="H7" s="6">
        <v>0.57977514138061803</v>
      </c>
      <c r="I7" s="4">
        <v>2327996</v>
      </c>
      <c r="J7" s="4">
        <v>1645344</v>
      </c>
      <c r="K7" s="4">
        <v>9735.7633136094682</v>
      </c>
      <c r="L7">
        <v>0.36247527916714634</v>
      </c>
      <c r="M7">
        <v>68</v>
      </c>
      <c r="N7" s="6">
        <v>0.77812405151669239</v>
      </c>
      <c r="O7">
        <v>77</v>
      </c>
      <c r="P7">
        <v>11.48</v>
      </c>
      <c r="Q7" s="6">
        <v>0.84239766648481385</v>
      </c>
      <c r="R7">
        <v>385</v>
      </c>
      <c r="S7">
        <v>55</v>
      </c>
      <c r="T7">
        <v>80.5</v>
      </c>
    </row>
    <row r="8" spans="1:26" x14ac:dyDescent="0.2">
      <c r="A8" s="5">
        <v>45839</v>
      </c>
      <c r="B8" t="s">
        <v>89</v>
      </c>
      <c r="C8" s="6">
        <v>2.3809523809523808E-2</v>
      </c>
      <c r="D8" s="6">
        <v>2.6515151515151516E-2</v>
      </c>
      <c r="E8" s="6">
        <v>3.4482758620689655E-2</v>
      </c>
      <c r="F8" s="6">
        <v>0.83836234562254697</v>
      </c>
      <c r="G8">
        <v>65</v>
      </c>
      <c r="H8" s="6">
        <v>0.63191056371164767</v>
      </c>
      <c r="I8" s="4">
        <v>2314221</v>
      </c>
      <c r="J8" s="4">
        <v>1699882</v>
      </c>
      <c r="K8" s="4">
        <v>10118.345238095239</v>
      </c>
      <c r="L8">
        <v>0.38123670989071484</v>
      </c>
      <c r="M8">
        <v>64</v>
      </c>
      <c r="N8" s="6">
        <v>0.64044386981564094</v>
      </c>
      <c r="O8">
        <v>73</v>
      </c>
      <c r="P8">
        <v>13.56</v>
      </c>
      <c r="Q8" s="6">
        <v>0.83197367462255845</v>
      </c>
      <c r="R8">
        <v>301</v>
      </c>
      <c r="S8">
        <v>53</v>
      </c>
      <c r="T8">
        <v>78.599999999999994</v>
      </c>
    </row>
    <row r="9" spans="1:26" x14ac:dyDescent="0.2">
      <c r="A9" s="5">
        <v>45870</v>
      </c>
      <c r="B9" t="s">
        <v>89</v>
      </c>
      <c r="C9" s="6">
        <v>2.4096385542168676E-2</v>
      </c>
      <c r="D9" s="6">
        <v>1.5334063526834611E-2</v>
      </c>
      <c r="E9" s="6">
        <v>6.2146892655367235E-2</v>
      </c>
      <c r="F9" s="6">
        <v>0.70956320945367191</v>
      </c>
      <c r="G9">
        <v>71</v>
      </c>
      <c r="H9" s="6">
        <v>0.78377348957187021</v>
      </c>
      <c r="I9" s="4">
        <v>2286671</v>
      </c>
      <c r="J9" s="4">
        <v>1499941</v>
      </c>
      <c r="K9" s="4">
        <v>9035.7891566265062</v>
      </c>
      <c r="L9">
        <v>0.30378178583626592</v>
      </c>
      <c r="M9">
        <v>65</v>
      </c>
      <c r="N9" s="6">
        <v>0.71898993404975109</v>
      </c>
      <c r="O9">
        <v>75</v>
      </c>
      <c r="P9">
        <v>13.71</v>
      </c>
      <c r="Q9" s="6">
        <v>0.79287150758081959</v>
      </c>
      <c r="R9">
        <v>202</v>
      </c>
      <c r="S9">
        <v>58</v>
      </c>
      <c r="T9">
        <v>80.7</v>
      </c>
    </row>
    <row r="10" spans="1:26" x14ac:dyDescent="0.2">
      <c r="A10" s="5">
        <v>45901</v>
      </c>
      <c r="B10" t="s">
        <v>89</v>
      </c>
      <c r="C10" s="6">
        <v>1.8292682926829267E-2</v>
      </c>
      <c r="D10" s="6">
        <v>2.1618625277161862E-2</v>
      </c>
      <c r="E10" s="6">
        <v>3.5294117647058823E-2</v>
      </c>
      <c r="F10" s="6">
        <v>0.85182831371074741</v>
      </c>
      <c r="G10">
        <v>70</v>
      </c>
      <c r="H10" s="6">
        <v>0.58391344276397494</v>
      </c>
      <c r="I10" s="4">
        <v>2259120</v>
      </c>
      <c r="J10" s="4">
        <v>1625663</v>
      </c>
      <c r="K10" s="4">
        <v>9912.5792682926822</v>
      </c>
      <c r="L10">
        <v>0.35381343177874569</v>
      </c>
      <c r="M10">
        <v>71</v>
      </c>
      <c r="N10" s="6">
        <v>0.85102144190546536</v>
      </c>
      <c r="O10">
        <v>83</v>
      </c>
      <c r="P10">
        <v>12.05</v>
      </c>
      <c r="Q10" s="6">
        <v>0.8725671011623819</v>
      </c>
      <c r="R10">
        <v>165</v>
      </c>
      <c r="S10">
        <v>50</v>
      </c>
      <c r="T10">
        <v>80.8</v>
      </c>
    </row>
    <row r="11" spans="1:26" x14ac:dyDescent="0.2">
      <c r="A11" s="5">
        <v>45931</v>
      </c>
      <c r="B11" t="s">
        <v>89</v>
      </c>
      <c r="C11" s="6">
        <v>1.8633540372670808E-2</v>
      </c>
      <c r="D11" s="6">
        <v>2.5974025974025976E-2</v>
      </c>
      <c r="E11" s="6">
        <v>6.3953488372093026E-2</v>
      </c>
      <c r="F11" s="6">
        <v>0.78802905302244153</v>
      </c>
      <c r="G11">
        <v>59</v>
      </c>
      <c r="H11" s="6">
        <v>0.55635781333032797</v>
      </c>
      <c r="I11" s="4">
        <v>2217795</v>
      </c>
      <c r="J11" s="4">
        <v>1402640</v>
      </c>
      <c r="K11" s="4">
        <v>8712.0496894409935</v>
      </c>
      <c r="L11">
        <v>0.28999975200593381</v>
      </c>
      <c r="M11">
        <v>57</v>
      </c>
      <c r="N11" s="6">
        <v>0.60780316596014872</v>
      </c>
      <c r="O11">
        <v>73</v>
      </c>
      <c r="P11">
        <v>12.02</v>
      </c>
      <c r="Q11" s="6">
        <v>0.78204905635297006</v>
      </c>
      <c r="R11">
        <v>187</v>
      </c>
      <c r="S11">
        <v>60</v>
      </c>
      <c r="T11">
        <v>75.5</v>
      </c>
    </row>
    <row r="12" spans="1:26" x14ac:dyDescent="0.2">
      <c r="A12" s="5">
        <v>45962</v>
      </c>
      <c r="B12" t="s">
        <v>89</v>
      </c>
      <c r="C12" s="6">
        <v>1.2500000000000001E-2</v>
      </c>
      <c r="D12" s="6">
        <v>1.7329545454545455E-2</v>
      </c>
      <c r="E12" s="6">
        <v>5.8823529411764705E-2</v>
      </c>
      <c r="F12" s="6">
        <v>0.79163341544236265</v>
      </c>
      <c r="G12">
        <v>68</v>
      </c>
      <c r="H12" s="6">
        <v>0.71820427010720689</v>
      </c>
      <c r="I12" s="4">
        <v>2204020</v>
      </c>
      <c r="J12" s="4">
        <v>1538569</v>
      </c>
      <c r="K12" s="4">
        <v>9616.0562499999996</v>
      </c>
      <c r="L12">
        <v>0.31393816753024018</v>
      </c>
      <c r="M12">
        <v>62</v>
      </c>
      <c r="N12" s="6">
        <v>0.64270645495001277</v>
      </c>
      <c r="O12">
        <v>75</v>
      </c>
      <c r="P12">
        <v>11.02</v>
      </c>
      <c r="Q12" s="6">
        <v>0.78607313314726912</v>
      </c>
      <c r="R12">
        <v>210</v>
      </c>
      <c r="S12">
        <v>57</v>
      </c>
      <c r="T12">
        <v>81</v>
      </c>
    </row>
    <row r="13" spans="1:26" x14ac:dyDescent="0.2">
      <c r="A13" s="5">
        <v>45992</v>
      </c>
      <c r="B13" t="s">
        <v>89</v>
      </c>
      <c r="C13" s="6">
        <v>2.5000000000000001E-2</v>
      </c>
      <c r="D13" s="6">
        <v>1.8465909090909092E-2</v>
      </c>
      <c r="E13" s="6">
        <v>4.7619047619047616E-2</v>
      </c>
      <c r="F13" s="6">
        <v>0.8439862005348171</v>
      </c>
      <c r="G13">
        <v>66</v>
      </c>
      <c r="H13" s="6">
        <v>0.55679752022894924</v>
      </c>
      <c r="I13" s="4">
        <v>2204020</v>
      </c>
      <c r="J13" s="4">
        <v>1502620</v>
      </c>
      <c r="K13" s="4">
        <v>9391.375</v>
      </c>
      <c r="L13">
        <v>0.40744276367728061</v>
      </c>
      <c r="M13">
        <v>66</v>
      </c>
      <c r="N13" s="6">
        <v>0.63268997725153309</v>
      </c>
      <c r="O13">
        <v>78</v>
      </c>
      <c r="P13">
        <v>10.69</v>
      </c>
      <c r="Q13" s="6">
        <v>0.82479171336235557</v>
      </c>
      <c r="R13">
        <v>221</v>
      </c>
      <c r="S13">
        <v>54</v>
      </c>
      <c r="T13">
        <v>79</v>
      </c>
    </row>
    <row r="14" spans="1:26" x14ac:dyDescent="0.2">
      <c r="A14" s="5">
        <v>45658</v>
      </c>
      <c r="B14" t="s">
        <v>102</v>
      </c>
      <c r="C14" s="6">
        <v>2.3809523809523808E-2</v>
      </c>
      <c r="D14" s="6">
        <v>1.8037518037518036E-2</v>
      </c>
      <c r="E14" s="6">
        <v>5.9701492537313432E-2</v>
      </c>
      <c r="F14" s="6">
        <v>0.89977247060674259</v>
      </c>
      <c r="G14">
        <v>61</v>
      </c>
      <c r="H14" s="6">
        <v>0.69758014219721132</v>
      </c>
      <c r="I14" s="4">
        <v>1863707</v>
      </c>
      <c r="J14" s="4">
        <v>1119109</v>
      </c>
      <c r="K14" s="4">
        <v>8881.8174603174612</v>
      </c>
      <c r="L14">
        <v>0.26766492801711855</v>
      </c>
      <c r="M14">
        <v>64</v>
      </c>
      <c r="N14" s="6">
        <v>0.61540208067510394</v>
      </c>
      <c r="O14">
        <v>77</v>
      </c>
      <c r="P14">
        <v>11.57</v>
      </c>
      <c r="Q14" s="6">
        <v>0.81907920656981281</v>
      </c>
      <c r="R14">
        <v>205</v>
      </c>
      <c r="S14">
        <v>56</v>
      </c>
      <c r="T14">
        <v>80.599999999999994</v>
      </c>
    </row>
    <row r="15" spans="1:26" x14ac:dyDescent="0.2">
      <c r="A15" s="5">
        <v>45689</v>
      </c>
      <c r="B15" t="s">
        <v>102</v>
      </c>
      <c r="C15" s="6">
        <v>1.5748031496062992E-2</v>
      </c>
      <c r="D15" s="6">
        <v>3.3285612025769504E-2</v>
      </c>
      <c r="E15" s="6">
        <v>5.9259259259259262E-2</v>
      </c>
      <c r="F15" s="6">
        <v>0.99</v>
      </c>
      <c r="G15">
        <v>68</v>
      </c>
      <c r="H15" s="6">
        <v>0.6455747828287447</v>
      </c>
      <c r="I15" s="4">
        <v>1878498</v>
      </c>
      <c r="J15" s="4">
        <v>1141706</v>
      </c>
      <c r="K15" s="4">
        <v>8989.8110236220473</v>
      </c>
      <c r="L15">
        <v>0.28529016267251817</v>
      </c>
      <c r="M15">
        <v>64</v>
      </c>
      <c r="N15" s="6">
        <v>0.71775921284849198</v>
      </c>
      <c r="O15">
        <v>81</v>
      </c>
      <c r="P15">
        <v>11.33</v>
      </c>
      <c r="Q15" s="6">
        <v>0.81044680426059934</v>
      </c>
      <c r="R15">
        <v>195</v>
      </c>
      <c r="S15">
        <v>58</v>
      </c>
      <c r="T15">
        <v>81.099999999999994</v>
      </c>
    </row>
    <row r="16" spans="1:26" x14ac:dyDescent="0.2">
      <c r="A16" s="5">
        <v>45717</v>
      </c>
      <c r="B16" t="s">
        <v>102</v>
      </c>
      <c r="C16" s="6">
        <v>2.3622047244094488E-2</v>
      </c>
      <c r="D16" s="6">
        <v>2.7916964924838941E-2</v>
      </c>
      <c r="E16" s="6">
        <v>6.6176470588235295E-2</v>
      </c>
      <c r="F16" s="6">
        <v>0.77069238976708943</v>
      </c>
      <c r="G16">
        <v>62</v>
      </c>
      <c r="H16" s="6">
        <v>0.71724857698100686</v>
      </c>
      <c r="I16" s="4">
        <v>1878498</v>
      </c>
      <c r="J16" s="4">
        <v>1147656</v>
      </c>
      <c r="K16" s="4">
        <v>9036.6614173228354</v>
      </c>
      <c r="L16">
        <v>0.31340730732744992</v>
      </c>
      <c r="M16">
        <v>63</v>
      </c>
      <c r="N16" s="6">
        <v>0.63562000344708536</v>
      </c>
      <c r="O16">
        <v>75</v>
      </c>
      <c r="P16">
        <v>12.95</v>
      </c>
      <c r="Q16" s="6">
        <v>0.81470085463292763</v>
      </c>
      <c r="R16">
        <v>226</v>
      </c>
      <c r="S16">
        <v>59</v>
      </c>
      <c r="T16">
        <v>77.5</v>
      </c>
    </row>
    <row r="17" spans="1:20" x14ac:dyDescent="0.2">
      <c r="A17" s="5">
        <v>45748</v>
      </c>
      <c r="B17" t="s">
        <v>102</v>
      </c>
      <c r="C17" s="6">
        <v>1.5873015873015872E-2</v>
      </c>
      <c r="D17" s="6">
        <v>3.4271284271284272E-2</v>
      </c>
      <c r="E17" s="6">
        <v>8.6956521739130432E-2</v>
      </c>
      <c r="F17" s="6">
        <v>0.89068625605416374</v>
      </c>
      <c r="G17">
        <v>64</v>
      </c>
      <c r="H17" s="6">
        <v>0.54593439819428435</v>
      </c>
      <c r="I17" s="4">
        <v>1863707</v>
      </c>
      <c r="J17" s="4">
        <v>1082826</v>
      </c>
      <c r="K17" s="4">
        <v>8593.8571428571431</v>
      </c>
      <c r="L17">
        <v>0.33123661605606458</v>
      </c>
      <c r="M17">
        <v>76</v>
      </c>
      <c r="N17" s="6">
        <v>0.91415022302533866</v>
      </c>
      <c r="O17">
        <v>83</v>
      </c>
      <c r="P17">
        <v>11.3</v>
      </c>
      <c r="Q17" s="6">
        <v>0.7909079748432557</v>
      </c>
      <c r="R17">
        <v>176</v>
      </c>
      <c r="S17">
        <v>63</v>
      </c>
      <c r="T17">
        <v>77.099999999999994</v>
      </c>
    </row>
    <row r="18" spans="1:20" x14ac:dyDescent="0.2">
      <c r="A18" s="5">
        <v>45778</v>
      </c>
      <c r="B18" t="s">
        <v>102</v>
      </c>
      <c r="C18" s="6">
        <v>2.3809523809523808E-2</v>
      </c>
      <c r="D18" s="6">
        <v>2.5252525252525252E-2</v>
      </c>
      <c r="E18" s="6">
        <v>0</v>
      </c>
      <c r="F18" s="6">
        <v>0.64701481737297961</v>
      </c>
      <c r="G18">
        <v>53</v>
      </c>
      <c r="H18" s="6">
        <v>0.78588217315516928</v>
      </c>
      <c r="I18" s="4">
        <v>1863707</v>
      </c>
      <c r="J18" s="4">
        <v>1064296</v>
      </c>
      <c r="K18" s="4">
        <v>8446.7936507936502</v>
      </c>
      <c r="L18">
        <v>0.24115539620766568</v>
      </c>
      <c r="M18">
        <v>51</v>
      </c>
      <c r="N18" s="6">
        <v>0.45</v>
      </c>
      <c r="O18">
        <v>81</v>
      </c>
      <c r="P18">
        <v>10.69</v>
      </c>
      <c r="Q18" s="6">
        <v>0.89267577437004297</v>
      </c>
      <c r="R18">
        <v>77</v>
      </c>
      <c r="S18">
        <v>44</v>
      </c>
      <c r="T18">
        <v>75.900000000000006</v>
      </c>
    </row>
    <row r="19" spans="1:20" x14ac:dyDescent="0.2">
      <c r="A19" s="5">
        <v>45809</v>
      </c>
      <c r="B19" t="s">
        <v>102</v>
      </c>
      <c r="C19" s="6">
        <v>2.3809523809523808E-2</v>
      </c>
      <c r="D19" s="6">
        <v>2.2005772005772004E-2</v>
      </c>
      <c r="E19" s="6">
        <v>4.5454545454545456E-2</v>
      </c>
      <c r="F19" s="6">
        <v>0.96408736732172073</v>
      </c>
      <c r="G19">
        <v>75</v>
      </c>
      <c r="H19" s="6">
        <v>0.73198610876046177</v>
      </c>
      <c r="I19" s="4">
        <v>1863707</v>
      </c>
      <c r="J19" s="4">
        <v>1113752</v>
      </c>
      <c r="K19" s="4">
        <v>8839.3015873015866</v>
      </c>
      <c r="L19">
        <v>0.29655036977378957</v>
      </c>
      <c r="M19">
        <v>78</v>
      </c>
      <c r="N19" s="6">
        <v>0.86242607021464357</v>
      </c>
      <c r="O19">
        <v>78</v>
      </c>
      <c r="P19">
        <v>13.14</v>
      </c>
      <c r="Q19" s="6">
        <v>0.79592438658202225</v>
      </c>
      <c r="R19">
        <v>113</v>
      </c>
      <c r="S19">
        <v>57</v>
      </c>
      <c r="T19">
        <v>84</v>
      </c>
    </row>
    <row r="20" spans="1:20" x14ac:dyDescent="0.2">
      <c r="A20" s="5">
        <v>45839</v>
      </c>
      <c r="B20" t="s">
        <v>102</v>
      </c>
      <c r="C20" s="6">
        <v>2.4193548387096774E-2</v>
      </c>
      <c r="D20" s="6">
        <v>3.1524926686217009E-2</v>
      </c>
      <c r="E20" s="6">
        <v>5.3435114503816793E-2</v>
      </c>
      <c r="F20" s="6">
        <v>0.90591636795322683</v>
      </c>
      <c r="G20">
        <v>64</v>
      </c>
      <c r="H20" s="6">
        <v>0.50909186896676595</v>
      </c>
      <c r="I20" s="4">
        <v>1834124</v>
      </c>
      <c r="J20" s="4">
        <v>1045982</v>
      </c>
      <c r="K20" s="4">
        <v>8435.3387096774186</v>
      </c>
      <c r="L20">
        <v>0.28387557220776782</v>
      </c>
      <c r="M20">
        <v>70</v>
      </c>
      <c r="N20" s="6">
        <v>0.80891901320898596</v>
      </c>
      <c r="O20">
        <v>76</v>
      </c>
      <c r="P20">
        <v>11.59</v>
      </c>
      <c r="Q20" s="6">
        <v>0.80899213033702755</v>
      </c>
      <c r="R20">
        <v>159</v>
      </c>
      <c r="S20">
        <v>58</v>
      </c>
      <c r="T20">
        <v>77</v>
      </c>
    </row>
    <row r="21" spans="1:20" x14ac:dyDescent="0.2">
      <c r="A21" s="5">
        <v>45870</v>
      </c>
      <c r="B21" t="s">
        <v>102</v>
      </c>
      <c r="C21" s="6">
        <v>1.6E-2</v>
      </c>
      <c r="D21" s="6">
        <v>3.1272727272727271E-2</v>
      </c>
      <c r="E21" s="6">
        <v>3.8461538461538464E-2</v>
      </c>
      <c r="F21" s="6">
        <v>0.96735162753763326</v>
      </c>
      <c r="G21">
        <v>75</v>
      </c>
      <c r="H21" s="6">
        <v>0.561491633380793</v>
      </c>
      <c r="I21" s="4">
        <v>1848916</v>
      </c>
      <c r="J21" s="4">
        <v>1089526</v>
      </c>
      <c r="K21" s="4">
        <v>8716.2080000000005</v>
      </c>
      <c r="L21">
        <v>0.35815688760333081</v>
      </c>
      <c r="M21">
        <v>75</v>
      </c>
      <c r="N21" s="6">
        <v>0.72662792329522063</v>
      </c>
      <c r="O21">
        <v>86</v>
      </c>
      <c r="P21">
        <v>10.69</v>
      </c>
      <c r="Q21" s="6">
        <v>0.83889072191186009</v>
      </c>
      <c r="R21">
        <v>203</v>
      </c>
      <c r="S21">
        <v>54</v>
      </c>
      <c r="T21">
        <v>81.7</v>
      </c>
    </row>
    <row r="22" spans="1:20" x14ac:dyDescent="0.2">
      <c r="A22" s="5">
        <v>45901</v>
      </c>
      <c r="B22" t="s">
        <v>102</v>
      </c>
      <c r="C22" s="6">
        <v>1.5748031496062992E-2</v>
      </c>
      <c r="D22" s="6">
        <v>1.7537580529706515E-2</v>
      </c>
      <c r="E22" s="6">
        <v>5.9259259259259262E-2</v>
      </c>
      <c r="F22" s="6">
        <v>0.77362918205363007</v>
      </c>
      <c r="G22">
        <v>69</v>
      </c>
      <c r="H22" s="6">
        <v>0.28000000000000003</v>
      </c>
      <c r="I22" s="4">
        <v>1878498</v>
      </c>
      <c r="J22" s="4">
        <v>1117023</v>
      </c>
      <c r="K22" s="4">
        <v>8795.4566929133853</v>
      </c>
      <c r="L22">
        <v>0.31953667238400041</v>
      </c>
      <c r="M22">
        <v>65</v>
      </c>
      <c r="N22" s="6">
        <v>0.64883837389326082</v>
      </c>
      <c r="O22">
        <v>76</v>
      </c>
      <c r="P22">
        <v>11.62</v>
      </c>
      <c r="Q22" s="6">
        <v>0.81121431120058995</v>
      </c>
      <c r="R22">
        <v>132</v>
      </c>
      <c r="S22">
        <v>55</v>
      </c>
      <c r="T22">
        <v>75.7</v>
      </c>
    </row>
    <row r="23" spans="1:20" x14ac:dyDescent="0.2">
      <c r="A23" s="5">
        <v>45931</v>
      </c>
      <c r="B23" t="s">
        <v>102</v>
      </c>
      <c r="C23" s="6">
        <v>1.5625E-2</v>
      </c>
      <c r="D23" s="6">
        <v>2.0596590909090908E-2</v>
      </c>
      <c r="E23" s="6">
        <v>5.185185185185185E-2</v>
      </c>
      <c r="F23" s="6">
        <v>0.80653879544601548</v>
      </c>
      <c r="G23">
        <v>63</v>
      </c>
      <c r="H23" s="6">
        <v>0.63440830811195181</v>
      </c>
      <c r="I23" s="4">
        <v>1893290</v>
      </c>
      <c r="J23" s="4">
        <v>1035345</v>
      </c>
      <c r="K23" s="4">
        <v>8088.6328125</v>
      </c>
      <c r="L23">
        <v>0.30352191159304703</v>
      </c>
      <c r="M23">
        <v>62</v>
      </c>
      <c r="N23" s="6">
        <v>0.7373133587012406</v>
      </c>
      <c r="O23">
        <v>78</v>
      </c>
      <c r="P23">
        <v>10.99</v>
      </c>
      <c r="Q23" s="6">
        <v>0.76931746852573568</v>
      </c>
      <c r="R23">
        <v>129</v>
      </c>
      <c r="S23">
        <v>58</v>
      </c>
      <c r="T23">
        <v>78.400000000000006</v>
      </c>
    </row>
    <row r="24" spans="1:20" x14ac:dyDescent="0.2">
      <c r="A24" s="5">
        <v>45962</v>
      </c>
      <c r="B24" t="s">
        <v>102</v>
      </c>
      <c r="C24" s="6">
        <v>1.5151515151515152E-2</v>
      </c>
      <c r="D24" s="6">
        <v>1.9972451790633609E-2</v>
      </c>
      <c r="E24" s="6">
        <v>2.2222222222222223E-2</v>
      </c>
      <c r="F24" s="6">
        <v>0.91976717347402182</v>
      </c>
      <c r="G24">
        <v>61</v>
      </c>
      <c r="H24" s="6">
        <v>0.28000000000000003</v>
      </c>
      <c r="I24" s="4">
        <v>1952455</v>
      </c>
      <c r="J24" s="4">
        <v>1177432</v>
      </c>
      <c r="K24" s="4">
        <v>8919.939393939394</v>
      </c>
      <c r="L24">
        <v>0.3507548189330868</v>
      </c>
      <c r="M24">
        <v>60</v>
      </c>
      <c r="N24" s="6">
        <v>0.59241221174325287</v>
      </c>
      <c r="O24">
        <v>84</v>
      </c>
      <c r="P24">
        <v>9.61</v>
      </c>
      <c r="Q24" s="6">
        <v>0.87272822846497611</v>
      </c>
      <c r="R24">
        <v>134</v>
      </c>
      <c r="S24">
        <v>47</v>
      </c>
      <c r="T24">
        <v>76.900000000000006</v>
      </c>
    </row>
    <row r="25" spans="1:20" x14ac:dyDescent="0.2">
      <c r="A25" s="5">
        <v>45992</v>
      </c>
      <c r="B25" t="s">
        <v>102</v>
      </c>
      <c r="C25" s="6">
        <v>2.2222222222222223E-2</v>
      </c>
      <c r="D25" s="6">
        <v>2.3569023569023569E-2</v>
      </c>
      <c r="E25" s="6">
        <v>3.5714285714285712E-2</v>
      </c>
      <c r="F25" s="6">
        <v>0.77310883374546824</v>
      </c>
      <c r="G25">
        <v>62</v>
      </c>
      <c r="H25" s="6">
        <v>0.60931299944556827</v>
      </c>
      <c r="I25" s="4">
        <v>1996829</v>
      </c>
      <c r="J25" s="4">
        <v>1185889</v>
      </c>
      <c r="K25" s="4">
        <v>8784.3629629629631</v>
      </c>
      <c r="L25">
        <v>0.29784122726582996</v>
      </c>
      <c r="M25">
        <v>63</v>
      </c>
      <c r="N25" s="6">
        <v>0.64440184350068819</v>
      </c>
      <c r="O25">
        <v>79</v>
      </c>
      <c r="P25">
        <v>12.61</v>
      </c>
      <c r="Q25" s="6">
        <v>0.80680622420503556</v>
      </c>
      <c r="R25">
        <v>127</v>
      </c>
      <c r="S25">
        <v>55</v>
      </c>
      <c r="T25">
        <v>76.900000000000006</v>
      </c>
    </row>
    <row r="26" spans="1:20" x14ac:dyDescent="0.2">
      <c r="A26" s="5">
        <v>45658</v>
      </c>
      <c r="B26" t="s">
        <v>74</v>
      </c>
      <c r="C26" s="6">
        <v>1.4925373134328358E-2</v>
      </c>
      <c r="D26" s="6">
        <v>1.7299864314789689E-2</v>
      </c>
      <c r="E26" s="6">
        <v>8.2191780821917804E-2</v>
      </c>
      <c r="F26" s="6">
        <v>0.78991691853945567</v>
      </c>
      <c r="G26">
        <v>73</v>
      </c>
      <c r="H26" s="6">
        <v>0.35180758592430816</v>
      </c>
      <c r="I26" s="4">
        <v>1995015</v>
      </c>
      <c r="J26" s="4">
        <v>480472</v>
      </c>
      <c r="K26" s="4">
        <v>3585.6119402985073</v>
      </c>
      <c r="L26">
        <v>0.14028866950875057</v>
      </c>
      <c r="M26">
        <v>69</v>
      </c>
      <c r="N26" s="6">
        <v>0.77002899809686864</v>
      </c>
      <c r="O26">
        <v>70</v>
      </c>
      <c r="P26">
        <v>12.73</v>
      </c>
      <c r="Q26" s="6">
        <v>0.77683501151265899</v>
      </c>
      <c r="R26">
        <v>293</v>
      </c>
      <c r="S26">
        <v>60</v>
      </c>
      <c r="T26">
        <v>77.3</v>
      </c>
    </row>
    <row r="27" spans="1:20" x14ac:dyDescent="0.2">
      <c r="A27" s="5">
        <v>45689</v>
      </c>
      <c r="B27" t="s">
        <v>74</v>
      </c>
      <c r="C27" s="6">
        <v>1.4925373134328358E-2</v>
      </c>
      <c r="D27" s="6">
        <v>2.0352781546811399E-2</v>
      </c>
      <c r="E27" s="6">
        <v>4.2857142857142858E-2</v>
      </c>
      <c r="F27" s="6">
        <v>0.82061347801118822</v>
      </c>
      <c r="G27">
        <v>64</v>
      </c>
      <c r="H27" s="6">
        <v>0.90474115634771834</v>
      </c>
      <c r="I27" s="4">
        <v>1995015</v>
      </c>
      <c r="J27" s="4">
        <v>514504</v>
      </c>
      <c r="K27" s="4">
        <v>3839.5820895522388</v>
      </c>
      <c r="L27">
        <v>0.15679380856785538</v>
      </c>
      <c r="M27">
        <v>65</v>
      </c>
      <c r="N27" s="6">
        <v>0.77280612899222034</v>
      </c>
      <c r="O27">
        <v>71</v>
      </c>
      <c r="P27">
        <v>12.49</v>
      </c>
      <c r="Q27" s="6">
        <v>0.74270207119354803</v>
      </c>
      <c r="R27">
        <v>283</v>
      </c>
      <c r="S27">
        <v>59</v>
      </c>
      <c r="T27">
        <v>81.8</v>
      </c>
    </row>
    <row r="28" spans="1:20" x14ac:dyDescent="0.2">
      <c r="A28" s="5">
        <v>45717</v>
      </c>
      <c r="B28" t="s">
        <v>74</v>
      </c>
      <c r="C28" s="6">
        <v>1.4705882352941176E-2</v>
      </c>
      <c r="D28" s="6">
        <v>1.7713903743315509E-2</v>
      </c>
      <c r="E28" s="6">
        <v>6.2068965517241378E-2</v>
      </c>
      <c r="F28" s="6">
        <v>0.89689903168480278</v>
      </c>
      <c r="G28">
        <v>68</v>
      </c>
      <c r="H28" s="6">
        <v>0.60854141107058224</v>
      </c>
      <c r="I28" s="4">
        <v>2024791</v>
      </c>
      <c r="J28" s="4">
        <v>532421</v>
      </c>
      <c r="K28" s="4">
        <v>3914.8602941176468</v>
      </c>
      <c r="L28">
        <v>0.15240042058661857</v>
      </c>
      <c r="M28">
        <v>63</v>
      </c>
      <c r="N28" s="6">
        <v>0.75334766710519785</v>
      </c>
      <c r="O28">
        <v>74</v>
      </c>
      <c r="P28">
        <v>11.73</v>
      </c>
      <c r="Q28" s="6">
        <v>0.82230393246788291</v>
      </c>
      <c r="R28">
        <v>210</v>
      </c>
      <c r="S28">
        <v>55</v>
      </c>
      <c r="T28">
        <v>81.599999999999994</v>
      </c>
    </row>
    <row r="29" spans="1:20" x14ac:dyDescent="0.2">
      <c r="A29" s="5">
        <v>45748</v>
      </c>
      <c r="B29" t="s">
        <v>74</v>
      </c>
      <c r="C29" s="6">
        <v>1.4705882352941176E-2</v>
      </c>
      <c r="D29" s="6">
        <v>1.3703208556149732E-2</v>
      </c>
      <c r="E29" s="6">
        <v>3.5460992907801421E-2</v>
      </c>
      <c r="F29" s="6">
        <v>0.88935977726765292</v>
      </c>
      <c r="G29">
        <v>73</v>
      </c>
      <c r="H29" s="6">
        <v>0.43954516656157228</v>
      </c>
      <c r="I29" s="4">
        <v>2024791</v>
      </c>
      <c r="J29" s="4">
        <v>537678</v>
      </c>
      <c r="K29" s="4">
        <v>3953.5147058823532</v>
      </c>
      <c r="L29">
        <v>0.1422072697873509</v>
      </c>
      <c r="M29">
        <v>64</v>
      </c>
      <c r="N29" s="6">
        <v>0.68185765214994942</v>
      </c>
      <c r="O29">
        <v>78</v>
      </c>
      <c r="P29">
        <v>11</v>
      </c>
      <c r="Q29" s="6">
        <v>0.84429924386691502</v>
      </c>
      <c r="R29">
        <v>160</v>
      </c>
      <c r="S29">
        <v>49</v>
      </c>
      <c r="T29">
        <v>81.3</v>
      </c>
    </row>
    <row r="30" spans="1:20" x14ac:dyDescent="0.2">
      <c r="A30" s="5">
        <v>45778</v>
      </c>
      <c r="B30" t="s">
        <v>74</v>
      </c>
      <c r="C30" s="6">
        <v>2.2058823529411766E-2</v>
      </c>
      <c r="D30" s="6">
        <v>2.4398395721925134E-2</v>
      </c>
      <c r="E30" s="6">
        <v>5.5555555555555552E-2</v>
      </c>
      <c r="F30" s="6">
        <v>0.89960474506413024</v>
      </c>
      <c r="G30">
        <v>54</v>
      </c>
      <c r="H30" s="6">
        <v>0.76875885894103813</v>
      </c>
      <c r="I30" s="4">
        <v>2024791</v>
      </c>
      <c r="J30" s="4">
        <v>489780</v>
      </c>
      <c r="K30" s="4">
        <v>3601.3235294117649</v>
      </c>
      <c r="L30">
        <v>0.13376541084981117</v>
      </c>
      <c r="M30">
        <v>62</v>
      </c>
      <c r="N30" s="6">
        <v>0.67693465018631049</v>
      </c>
      <c r="O30">
        <v>66</v>
      </c>
      <c r="P30">
        <v>14.04</v>
      </c>
      <c r="Q30" s="6">
        <v>0.76399560926514209</v>
      </c>
      <c r="R30">
        <v>203</v>
      </c>
      <c r="S30">
        <v>61</v>
      </c>
      <c r="T30">
        <v>78.599999999999994</v>
      </c>
    </row>
    <row r="31" spans="1:20" x14ac:dyDescent="0.2">
      <c r="A31" s="5">
        <v>45809</v>
      </c>
      <c r="B31" t="s">
        <v>74</v>
      </c>
      <c r="C31" s="6">
        <v>1.4388489208633094E-2</v>
      </c>
      <c r="D31" s="6">
        <v>2.1255722694571617E-2</v>
      </c>
      <c r="E31" s="6">
        <v>5.4421768707482991E-2</v>
      </c>
      <c r="F31" s="6">
        <v>0.78657299885689247</v>
      </c>
      <c r="G31">
        <v>69</v>
      </c>
      <c r="H31" s="6">
        <v>0.53727837695811353</v>
      </c>
      <c r="I31" s="4">
        <v>2069456</v>
      </c>
      <c r="J31" s="4">
        <v>518911</v>
      </c>
      <c r="K31" s="4">
        <v>3733.1726618705038</v>
      </c>
      <c r="L31">
        <v>0.15307356136105335</v>
      </c>
      <c r="M31">
        <v>71</v>
      </c>
      <c r="N31" s="6">
        <v>0.78429995108071138</v>
      </c>
      <c r="O31">
        <v>67</v>
      </c>
      <c r="P31">
        <v>12.73</v>
      </c>
      <c r="Q31" s="6">
        <v>0.77081944070847175</v>
      </c>
      <c r="R31">
        <v>193</v>
      </c>
      <c r="S31">
        <v>59</v>
      </c>
      <c r="T31">
        <v>78.099999999999994</v>
      </c>
    </row>
    <row r="32" spans="1:20" x14ac:dyDescent="0.2">
      <c r="A32" s="5">
        <v>45839</v>
      </c>
      <c r="B32" t="s">
        <v>74</v>
      </c>
      <c r="C32" s="6">
        <v>1.4184397163120567E-2</v>
      </c>
      <c r="D32" s="6">
        <v>1.6441005802707929E-2</v>
      </c>
      <c r="E32" s="6">
        <v>3.4246575342465752E-2</v>
      </c>
      <c r="F32" s="6">
        <v>0.74216659761133574</v>
      </c>
      <c r="G32">
        <v>69</v>
      </c>
      <c r="H32" s="6">
        <v>0.54938684119802716</v>
      </c>
      <c r="I32" s="4">
        <v>2099232</v>
      </c>
      <c r="J32" s="4">
        <v>489178</v>
      </c>
      <c r="K32" s="4">
        <v>3469.3475177304963</v>
      </c>
      <c r="L32">
        <v>0.1008316374750385</v>
      </c>
      <c r="M32">
        <v>66</v>
      </c>
      <c r="N32" s="6">
        <v>0.7964667518609817</v>
      </c>
      <c r="O32">
        <v>76</v>
      </c>
      <c r="P32">
        <v>12.13</v>
      </c>
      <c r="Q32" s="6">
        <v>0.85033905082170846</v>
      </c>
      <c r="R32">
        <v>299</v>
      </c>
      <c r="S32">
        <v>49</v>
      </c>
      <c r="T32">
        <v>79.2</v>
      </c>
    </row>
    <row r="33" spans="1:20" x14ac:dyDescent="0.2">
      <c r="A33" s="5">
        <v>45870</v>
      </c>
      <c r="B33" t="s">
        <v>74</v>
      </c>
      <c r="C33" s="6">
        <v>1.4084507042253521E-2</v>
      </c>
      <c r="D33" s="6">
        <v>2.5288092189500639E-2</v>
      </c>
      <c r="E33" s="6">
        <v>7.1895424836601302E-2</v>
      </c>
      <c r="F33" s="6">
        <v>0.69276917470751231</v>
      </c>
      <c r="G33">
        <v>56</v>
      </c>
      <c r="H33" s="6">
        <v>0.5942714226412612</v>
      </c>
      <c r="I33" s="4">
        <v>2114120</v>
      </c>
      <c r="J33" s="4">
        <v>462852</v>
      </c>
      <c r="K33" s="4">
        <v>3259.5211267605632</v>
      </c>
      <c r="L33">
        <v>9.783739806633493E-2</v>
      </c>
      <c r="M33">
        <v>61</v>
      </c>
      <c r="N33" s="6">
        <v>0.73536190438227944</v>
      </c>
      <c r="O33">
        <v>70</v>
      </c>
      <c r="P33">
        <v>11.77</v>
      </c>
      <c r="Q33" s="6">
        <v>0.72386022307345443</v>
      </c>
      <c r="R33">
        <v>247</v>
      </c>
      <c r="S33">
        <v>64</v>
      </c>
      <c r="T33">
        <v>73.5</v>
      </c>
    </row>
    <row r="34" spans="1:20" x14ac:dyDescent="0.2">
      <c r="A34" s="5">
        <v>45901</v>
      </c>
      <c r="B34" t="s">
        <v>74</v>
      </c>
      <c r="C34" s="6">
        <v>1.3888888888888888E-2</v>
      </c>
      <c r="D34" s="6">
        <v>3.4406565656565656E-2</v>
      </c>
      <c r="E34" s="6">
        <v>8.2802547770700632E-2</v>
      </c>
      <c r="F34" s="6">
        <v>0.60228733645720367</v>
      </c>
      <c r="G34">
        <v>53</v>
      </c>
      <c r="H34" s="6">
        <v>0.62207511141306138</v>
      </c>
      <c r="I34" s="4">
        <v>2143897</v>
      </c>
      <c r="J34" s="4">
        <v>452789</v>
      </c>
      <c r="K34" s="4">
        <v>3144.3680555555557</v>
      </c>
      <c r="L34">
        <v>9.7455707993434393E-2</v>
      </c>
      <c r="M34">
        <v>58</v>
      </c>
      <c r="N34" s="6">
        <v>0.60843813085872944</v>
      </c>
      <c r="O34">
        <v>59</v>
      </c>
      <c r="P34">
        <v>16.13</v>
      </c>
      <c r="Q34" s="6">
        <v>0.73817699965696049</v>
      </c>
      <c r="R34">
        <v>307</v>
      </c>
      <c r="S34">
        <v>67</v>
      </c>
      <c r="T34">
        <v>70.7</v>
      </c>
    </row>
    <row r="35" spans="1:20" x14ac:dyDescent="0.2">
      <c r="A35" s="5">
        <v>45931</v>
      </c>
      <c r="B35" t="s">
        <v>74</v>
      </c>
      <c r="C35" s="6">
        <v>1.3698630136986301E-2</v>
      </c>
      <c r="D35" s="6">
        <v>1.8991282689912826E-2</v>
      </c>
      <c r="E35" s="6">
        <v>4.5751633986928102E-2</v>
      </c>
      <c r="F35" s="6">
        <v>0.75197790407757958</v>
      </c>
      <c r="G35">
        <v>61</v>
      </c>
      <c r="H35" s="6">
        <v>0.5127442907094204</v>
      </c>
      <c r="I35" s="4">
        <v>2173673</v>
      </c>
      <c r="J35" s="4">
        <v>492250</v>
      </c>
      <c r="K35" s="4">
        <v>3371.5753424657532</v>
      </c>
      <c r="L35">
        <v>9.5730130521012133E-2</v>
      </c>
      <c r="M35">
        <v>61</v>
      </c>
      <c r="N35" s="6">
        <v>0.76265189763991637</v>
      </c>
      <c r="O35">
        <v>69</v>
      </c>
      <c r="P35">
        <v>13.51</v>
      </c>
      <c r="Q35" s="6">
        <v>0.77541207613822705</v>
      </c>
      <c r="R35">
        <v>261</v>
      </c>
      <c r="S35">
        <v>57</v>
      </c>
      <c r="T35">
        <v>76.099999999999994</v>
      </c>
    </row>
    <row r="36" spans="1:20" x14ac:dyDescent="0.2">
      <c r="A36" s="5">
        <v>45962</v>
      </c>
      <c r="B36" t="s">
        <v>74</v>
      </c>
      <c r="C36" s="6">
        <v>2.0270270270270271E-2</v>
      </c>
      <c r="D36" s="6">
        <v>2.4570024570024569E-2</v>
      </c>
      <c r="E36" s="6">
        <v>6.3291139240506333E-2</v>
      </c>
      <c r="F36" s="6">
        <v>0.85466893917162801</v>
      </c>
      <c r="G36">
        <v>66</v>
      </c>
      <c r="H36" s="6">
        <v>0.46984278833260962</v>
      </c>
      <c r="I36" s="4">
        <v>2203449</v>
      </c>
      <c r="J36" s="4">
        <v>536280</v>
      </c>
      <c r="K36" s="4">
        <v>3623.5135135135133</v>
      </c>
      <c r="L36">
        <v>0.12851125667079202</v>
      </c>
      <c r="M36">
        <v>66</v>
      </c>
      <c r="N36" s="6">
        <v>0.75453517325304564</v>
      </c>
      <c r="O36">
        <v>69</v>
      </c>
      <c r="P36">
        <v>12.38</v>
      </c>
      <c r="Q36" s="6">
        <v>0.76596953703140847</v>
      </c>
      <c r="R36">
        <v>302</v>
      </c>
      <c r="S36">
        <v>61</v>
      </c>
      <c r="T36">
        <v>76.8</v>
      </c>
    </row>
    <row r="37" spans="1:20" x14ac:dyDescent="0.2">
      <c r="A37" s="5">
        <v>45992</v>
      </c>
      <c r="B37" t="s">
        <v>74</v>
      </c>
      <c r="C37" s="6">
        <v>2.0270270270270271E-2</v>
      </c>
      <c r="D37" s="6">
        <v>2.4877149877149878E-2</v>
      </c>
      <c r="E37" s="6">
        <v>1.3333333333333334E-2</v>
      </c>
      <c r="F37" s="6">
        <v>0.75461245392638465</v>
      </c>
      <c r="G37">
        <v>62</v>
      </c>
      <c r="H37" s="6">
        <v>0.60568778169178683</v>
      </c>
      <c r="I37" s="4">
        <v>2203449</v>
      </c>
      <c r="J37" s="4">
        <v>519771</v>
      </c>
      <c r="K37" s="4">
        <v>3511.9662162162163</v>
      </c>
      <c r="L37">
        <v>0.10296948102724411</v>
      </c>
      <c r="M37">
        <v>65</v>
      </c>
      <c r="N37" s="6">
        <v>0.8081477321584033</v>
      </c>
      <c r="O37">
        <v>72</v>
      </c>
      <c r="P37">
        <v>11.54</v>
      </c>
      <c r="Q37" s="6">
        <v>0.80187723737254146</v>
      </c>
      <c r="R37">
        <v>227</v>
      </c>
      <c r="S37">
        <v>53</v>
      </c>
      <c r="T37">
        <v>76.400000000000006</v>
      </c>
    </row>
    <row r="38" spans="1:20" x14ac:dyDescent="0.2">
      <c r="A38" s="5">
        <v>45658</v>
      </c>
      <c r="B38" t="s">
        <v>108</v>
      </c>
      <c r="C38" s="6">
        <v>1.5151515151515152E-2</v>
      </c>
      <c r="D38" s="6">
        <v>2.0316804407713499E-2</v>
      </c>
      <c r="E38" s="6">
        <v>3.6496350364963501E-2</v>
      </c>
      <c r="F38" s="6">
        <v>0.71083127998342288</v>
      </c>
      <c r="G38">
        <v>55</v>
      </c>
      <c r="H38" s="6">
        <v>0.82912824619573433</v>
      </c>
      <c r="I38" s="4">
        <v>1729940</v>
      </c>
      <c r="J38" s="4">
        <v>381765</v>
      </c>
      <c r="K38" s="4">
        <v>2892.159090909091</v>
      </c>
      <c r="L38">
        <v>0.12492398580297583</v>
      </c>
      <c r="M38">
        <v>57</v>
      </c>
      <c r="N38" s="6">
        <v>0.76782326130661305</v>
      </c>
      <c r="O38">
        <v>77</v>
      </c>
      <c r="P38">
        <v>12.2</v>
      </c>
      <c r="Q38" s="6">
        <v>0.81901792211777003</v>
      </c>
      <c r="R38">
        <v>149</v>
      </c>
      <c r="S38">
        <v>52</v>
      </c>
      <c r="T38">
        <v>78.2</v>
      </c>
    </row>
    <row r="39" spans="1:20" x14ac:dyDescent="0.2">
      <c r="A39" s="5">
        <v>45689</v>
      </c>
      <c r="B39" t="s">
        <v>108</v>
      </c>
      <c r="C39" s="6">
        <v>1.5151515151515152E-2</v>
      </c>
      <c r="D39" s="6">
        <v>1.790633608815427E-2</v>
      </c>
      <c r="E39" s="6">
        <v>5.0359712230215826E-2</v>
      </c>
      <c r="F39" s="6">
        <v>0.79179480077161346</v>
      </c>
      <c r="G39">
        <v>71</v>
      </c>
      <c r="H39" s="6">
        <v>0.6188180097767626</v>
      </c>
      <c r="I39" s="4">
        <v>1729940</v>
      </c>
      <c r="J39" s="4">
        <v>434382</v>
      </c>
      <c r="K39" s="4">
        <v>3290.7727272727275</v>
      </c>
      <c r="L39">
        <v>0.10658982392452918</v>
      </c>
      <c r="M39">
        <v>72</v>
      </c>
      <c r="N39" s="6">
        <v>0.77333694660157737</v>
      </c>
      <c r="O39">
        <v>84</v>
      </c>
      <c r="P39">
        <v>12</v>
      </c>
      <c r="Q39" s="6">
        <v>0.87452834010210101</v>
      </c>
      <c r="R39">
        <v>248</v>
      </c>
      <c r="S39">
        <v>50</v>
      </c>
      <c r="T39">
        <v>81.2</v>
      </c>
    </row>
    <row r="40" spans="1:20" x14ac:dyDescent="0.2">
      <c r="A40" s="5">
        <v>45717</v>
      </c>
      <c r="B40" t="s">
        <v>108</v>
      </c>
      <c r="C40" s="6">
        <v>1.5151515151515152E-2</v>
      </c>
      <c r="D40" s="6">
        <v>2.3071625344352618E-2</v>
      </c>
      <c r="E40" s="6">
        <v>2.9411764705882353E-2</v>
      </c>
      <c r="F40" s="6">
        <v>0.65327777089171002</v>
      </c>
      <c r="G40">
        <v>66</v>
      </c>
      <c r="H40" s="6">
        <v>0.53607387101673509</v>
      </c>
      <c r="I40" s="4">
        <v>1729940</v>
      </c>
      <c r="J40" s="4">
        <v>402246</v>
      </c>
      <c r="K40" s="4">
        <v>3047.318181818182</v>
      </c>
      <c r="L40">
        <v>0.11095009075459264</v>
      </c>
      <c r="M40">
        <v>61</v>
      </c>
      <c r="N40" s="6">
        <v>0.65857458560480597</v>
      </c>
      <c r="O40">
        <v>71</v>
      </c>
      <c r="P40">
        <v>13.11</v>
      </c>
      <c r="Q40" s="6">
        <v>0.7993610265741794</v>
      </c>
      <c r="R40">
        <v>214</v>
      </c>
      <c r="S40">
        <v>53</v>
      </c>
      <c r="T40">
        <v>75.400000000000006</v>
      </c>
    </row>
    <row r="41" spans="1:20" x14ac:dyDescent="0.2">
      <c r="A41" s="5">
        <v>45748</v>
      </c>
      <c r="B41" t="s">
        <v>108</v>
      </c>
      <c r="C41" s="6">
        <v>7.462686567164179E-3</v>
      </c>
      <c r="D41" s="6">
        <v>3.3921302578018994E-2</v>
      </c>
      <c r="E41" s="6">
        <v>3.5971223021582732E-2</v>
      </c>
      <c r="F41" s="6">
        <v>0.86063278921940944</v>
      </c>
      <c r="G41">
        <v>72</v>
      </c>
      <c r="H41" s="6">
        <v>0.76466922909974544</v>
      </c>
      <c r="I41" s="4">
        <v>1756152</v>
      </c>
      <c r="J41" s="4">
        <v>423201</v>
      </c>
      <c r="K41" s="4">
        <v>3158.2164179104479</v>
      </c>
      <c r="L41">
        <v>0.10386800231415048</v>
      </c>
      <c r="M41">
        <v>69</v>
      </c>
      <c r="N41" s="6">
        <v>0.73337982328175666</v>
      </c>
      <c r="O41">
        <v>86</v>
      </c>
      <c r="P41">
        <v>11.67</v>
      </c>
      <c r="Q41" s="6">
        <v>0.8550463444986609</v>
      </c>
      <c r="R41">
        <v>254</v>
      </c>
      <c r="S41">
        <v>51</v>
      </c>
      <c r="T41">
        <v>82.2</v>
      </c>
    </row>
    <row r="42" spans="1:20" x14ac:dyDescent="0.2">
      <c r="A42" s="5">
        <v>45778</v>
      </c>
      <c r="B42" t="s">
        <v>108</v>
      </c>
      <c r="C42" s="6">
        <v>1.4925373134328358E-2</v>
      </c>
      <c r="D42" s="6">
        <v>2.6458616010854818E-2</v>
      </c>
      <c r="E42" s="6">
        <v>3.5971223021582732E-2</v>
      </c>
      <c r="F42" s="6">
        <v>0.77065765502572314</v>
      </c>
      <c r="G42">
        <v>76</v>
      </c>
      <c r="H42" s="6">
        <v>0.48329681306057215</v>
      </c>
      <c r="I42" s="4">
        <v>1756152</v>
      </c>
      <c r="J42" s="4">
        <v>443441</v>
      </c>
      <c r="K42" s="4">
        <v>3309.2611940298507</v>
      </c>
      <c r="L42">
        <v>0.11284729340057124</v>
      </c>
      <c r="M42">
        <v>75</v>
      </c>
      <c r="N42" s="6">
        <v>0.92027892765328967</v>
      </c>
      <c r="O42">
        <v>77</v>
      </c>
      <c r="P42">
        <v>11.08</v>
      </c>
      <c r="Q42" s="6">
        <v>0.83216073397212131</v>
      </c>
      <c r="R42">
        <v>121</v>
      </c>
      <c r="S42">
        <v>53</v>
      </c>
      <c r="T42">
        <v>78.5</v>
      </c>
    </row>
    <row r="43" spans="1:20" x14ac:dyDescent="0.2">
      <c r="A43" s="5">
        <v>45809</v>
      </c>
      <c r="B43" t="s">
        <v>108</v>
      </c>
      <c r="C43" s="6">
        <v>1.5151515151515152E-2</v>
      </c>
      <c r="D43" s="6">
        <v>2.8925619834710745E-2</v>
      </c>
      <c r="E43" s="6">
        <v>2.9411764705882353E-2</v>
      </c>
      <c r="F43" s="6">
        <v>0.88874503927605164</v>
      </c>
      <c r="G43">
        <v>65</v>
      </c>
      <c r="H43" s="6">
        <v>0.47482261830859424</v>
      </c>
      <c r="I43" s="4">
        <v>1729940</v>
      </c>
      <c r="J43" s="4">
        <v>424208</v>
      </c>
      <c r="K43" s="4">
        <v>3213.6969696969695</v>
      </c>
      <c r="L43">
        <v>0.12097240366717921</v>
      </c>
      <c r="M43">
        <v>61</v>
      </c>
      <c r="N43" s="6">
        <v>0.62175919565204785</v>
      </c>
      <c r="O43">
        <v>82</v>
      </c>
      <c r="P43">
        <v>9.99</v>
      </c>
      <c r="Q43" s="6">
        <v>0.87198562941008373</v>
      </c>
      <c r="R43">
        <v>245</v>
      </c>
      <c r="S43">
        <v>49</v>
      </c>
      <c r="T43">
        <v>78.2</v>
      </c>
    </row>
    <row r="44" spans="1:20" x14ac:dyDescent="0.2">
      <c r="A44" s="5">
        <v>45839</v>
      </c>
      <c r="B44" t="s">
        <v>108</v>
      </c>
      <c r="C44" s="6">
        <v>2.2727272727272728E-2</v>
      </c>
      <c r="D44" s="6">
        <v>2.4793388429752067E-2</v>
      </c>
      <c r="E44" s="6">
        <v>7.6923076923076927E-2</v>
      </c>
      <c r="F44" s="6">
        <v>0.66148389802845509</v>
      </c>
      <c r="G44">
        <v>51</v>
      </c>
      <c r="H44" s="6">
        <v>0.50008073666296871</v>
      </c>
      <c r="I44" s="4">
        <v>1729940</v>
      </c>
      <c r="J44" s="4">
        <v>373290</v>
      </c>
      <c r="K44" s="4">
        <v>2827.9545454545455</v>
      </c>
      <c r="L44">
        <v>0.12826167381527684</v>
      </c>
      <c r="M44">
        <v>62</v>
      </c>
      <c r="N44" s="6">
        <v>0.66445384015281483</v>
      </c>
      <c r="O44">
        <v>76</v>
      </c>
      <c r="P44">
        <v>13.38</v>
      </c>
      <c r="Q44" s="6">
        <v>0.807483589796548</v>
      </c>
      <c r="R44">
        <v>153</v>
      </c>
      <c r="S44">
        <v>60</v>
      </c>
      <c r="T44">
        <v>71.400000000000006</v>
      </c>
    </row>
    <row r="45" spans="1:20" x14ac:dyDescent="0.2">
      <c r="A45" s="5">
        <v>45870</v>
      </c>
      <c r="B45" t="s">
        <v>108</v>
      </c>
      <c r="C45" s="6">
        <v>2.2900763358778626E-2</v>
      </c>
      <c r="D45" s="6">
        <v>2.6717557251908396E-2</v>
      </c>
      <c r="E45" s="6">
        <v>4.3795620437956206E-2</v>
      </c>
      <c r="F45" s="6">
        <v>0.88918489493883723</v>
      </c>
      <c r="G45">
        <v>64</v>
      </c>
      <c r="H45" s="6">
        <v>0.59779665490020117</v>
      </c>
      <c r="I45" s="4">
        <v>1716835</v>
      </c>
      <c r="J45" s="4">
        <v>404509</v>
      </c>
      <c r="K45" s="4">
        <v>3087.8549618320612</v>
      </c>
      <c r="L45">
        <v>0.13739759499311233</v>
      </c>
      <c r="M45">
        <v>64</v>
      </c>
      <c r="N45" s="6">
        <v>0.71357306569123269</v>
      </c>
      <c r="O45">
        <v>76</v>
      </c>
      <c r="P45">
        <v>13</v>
      </c>
      <c r="Q45" s="6">
        <v>0.84408415861126673</v>
      </c>
      <c r="R45">
        <v>244</v>
      </c>
      <c r="S45">
        <v>54</v>
      </c>
      <c r="T45">
        <v>79</v>
      </c>
    </row>
    <row r="46" spans="1:20" x14ac:dyDescent="0.2">
      <c r="A46" s="5">
        <v>45901</v>
      </c>
      <c r="B46" t="s">
        <v>108</v>
      </c>
      <c r="C46" s="6">
        <v>1.5267175572519083E-2</v>
      </c>
      <c r="D46" s="6">
        <v>2.879944482997918E-2</v>
      </c>
      <c r="E46" s="6">
        <v>7.0921985815602842E-2</v>
      </c>
      <c r="F46" s="6">
        <v>0.7990907432314639</v>
      </c>
      <c r="G46">
        <v>70</v>
      </c>
      <c r="H46" s="6">
        <v>0.56402033311452082</v>
      </c>
      <c r="I46" s="4">
        <v>1716835</v>
      </c>
      <c r="J46" s="4">
        <v>386215</v>
      </c>
      <c r="K46" s="4">
        <v>2948.2061068702292</v>
      </c>
      <c r="L46">
        <v>0.10197543736002586</v>
      </c>
      <c r="M46">
        <v>69</v>
      </c>
      <c r="N46" s="6">
        <v>0.65852960704515962</v>
      </c>
      <c r="O46">
        <v>81</v>
      </c>
      <c r="P46">
        <v>12.03</v>
      </c>
      <c r="Q46" s="6">
        <v>0.83885464015820677</v>
      </c>
      <c r="R46">
        <v>200</v>
      </c>
      <c r="S46">
        <v>56</v>
      </c>
      <c r="T46">
        <v>78.5</v>
      </c>
    </row>
    <row r="47" spans="1:20" x14ac:dyDescent="0.2">
      <c r="A47" s="5">
        <v>45931</v>
      </c>
      <c r="B47" t="s">
        <v>108</v>
      </c>
      <c r="C47" s="6">
        <v>1.5267175572519083E-2</v>
      </c>
      <c r="D47" s="6">
        <v>1.6655100624566273E-2</v>
      </c>
      <c r="E47" s="6">
        <v>4.3795620437956206E-2</v>
      </c>
      <c r="F47" s="6">
        <v>0.75013958331246611</v>
      </c>
      <c r="G47">
        <v>77</v>
      </c>
      <c r="H47" s="6">
        <v>0.46025728756437767</v>
      </c>
      <c r="I47" s="4">
        <v>1716835</v>
      </c>
      <c r="J47" s="4">
        <v>390575</v>
      </c>
      <c r="K47" s="4">
        <v>2981.4885496183206</v>
      </c>
      <c r="L47">
        <v>0.10962439605436748</v>
      </c>
      <c r="M47">
        <v>70</v>
      </c>
      <c r="N47" s="6">
        <v>0.84832622980198991</v>
      </c>
      <c r="O47">
        <v>88</v>
      </c>
      <c r="P47">
        <v>9.2200000000000006</v>
      </c>
      <c r="Q47" s="6">
        <v>0.86835950206196066</v>
      </c>
      <c r="R47">
        <v>260</v>
      </c>
      <c r="S47">
        <v>49</v>
      </c>
      <c r="T47">
        <v>79.900000000000006</v>
      </c>
    </row>
    <row r="48" spans="1:20" x14ac:dyDescent="0.2">
      <c r="A48" s="5">
        <v>45962</v>
      </c>
      <c r="B48" t="s">
        <v>108</v>
      </c>
      <c r="C48" s="6">
        <v>1.5151515151515152E-2</v>
      </c>
      <c r="D48" s="6">
        <v>2.2038567493112948E-2</v>
      </c>
      <c r="E48" s="6">
        <v>8.3333333333333329E-2</v>
      </c>
      <c r="F48" s="6">
        <v>0.77143836891850204</v>
      </c>
      <c r="G48">
        <v>67</v>
      </c>
      <c r="H48" s="6">
        <v>0.64462024549489916</v>
      </c>
      <c r="I48" s="4">
        <v>1729940</v>
      </c>
      <c r="J48" s="4">
        <v>385672</v>
      </c>
      <c r="K48" s="4">
        <v>2921.757575757576</v>
      </c>
      <c r="L48">
        <v>9.4062799865891306E-2</v>
      </c>
      <c r="M48">
        <v>67</v>
      </c>
      <c r="N48" s="6">
        <v>0.7175748944047744</v>
      </c>
      <c r="O48">
        <v>74</v>
      </c>
      <c r="P48">
        <v>11.68</v>
      </c>
      <c r="Q48" s="6">
        <v>0.76364813689782329</v>
      </c>
      <c r="R48">
        <v>185</v>
      </c>
      <c r="S48">
        <v>62</v>
      </c>
      <c r="T48">
        <v>78.5</v>
      </c>
    </row>
    <row r="49" spans="1:20" x14ac:dyDescent="0.2">
      <c r="A49" s="5">
        <v>45992</v>
      </c>
      <c r="B49" t="s">
        <v>108</v>
      </c>
      <c r="C49" s="6">
        <v>1.4925373134328358E-2</v>
      </c>
      <c r="D49" s="6">
        <v>2.7815468113975575E-2</v>
      </c>
      <c r="E49" s="6">
        <v>1.4705882352941176E-2</v>
      </c>
      <c r="F49" s="6">
        <v>0.9767282666630499</v>
      </c>
      <c r="G49">
        <v>79</v>
      </c>
      <c r="H49" s="6">
        <v>0.54371272501435486</v>
      </c>
      <c r="I49" s="4">
        <v>1756152</v>
      </c>
      <c r="J49" s="4">
        <v>448379</v>
      </c>
      <c r="K49" s="4">
        <v>3346.1119402985073</v>
      </c>
      <c r="L49">
        <v>0.12629772365945544</v>
      </c>
      <c r="M49">
        <v>78</v>
      </c>
      <c r="N49" s="6">
        <v>0.71416340038526815</v>
      </c>
      <c r="O49">
        <v>84</v>
      </c>
      <c r="P49">
        <v>10.27</v>
      </c>
      <c r="Q49" s="6">
        <v>0.92999265523311103</v>
      </c>
      <c r="R49">
        <v>257</v>
      </c>
      <c r="S49">
        <v>43</v>
      </c>
      <c r="T49">
        <v>84.1</v>
      </c>
    </row>
    <row r="50" spans="1:20" x14ac:dyDescent="0.2">
      <c r="A50" s="5">
        <v>45658</v>
      </c>
      <c r="B50" t="s">
        <v>12</v>
      </c>
      <c r="C50" s="6">
        <v>1.5873015873015872E-2</v>
      </c>
      <c r="D50" s="6">
        <v>2.7417027417027416E-2</v>
      </c>
      <c r="E50" s="6">
        <v>3.0769230769230771E-2</v>
      </c>
      <c r="F50" s="6">
        <v>0.74925545704288721</v>
      </c>
      <c r="G50">
        <v>57</v>
      </c>
      <c r="H50" s="6">
        <v>0.66228151581167771</v>
      </c>
      <c r="I50" s="4">
        <v>982417</v>
      </c>
      <c r="J50" s="4">
        <v>269152</v>
      </c>
      <c r="K50" s="4">
        <v>4272.2539682539682</v>
      </c>
      <c r="L50">
        <v>0.1477132419329063</v>
      </c>
      <c r="M50">
        <v>63</v>
      </c>
      <c r="N50" s="6">
        <v>0.73174030794639056</v>
      </c>
      <c r="O50">
        <v>66</v>
      </c>
      <c r="P50">
        <v>12.38</v>
      </c>
      <c r="Q50" s="6">
        <v>0.75914046128830504</v>
      </c>
      <c r="R50">
        <v>128</v>
      </c>
      <c r="S50">
        <v>57</v>
      </c>
      <c r="T50">
        <v>75.400000000000006</v>
      </c>
    </row>
    <row r="51" spans="1:20" x14ac:dyDescent="0.2">
      <c r="A51" s="5">
        <v>45689</v>
      </c>
      <c r="B51" t="s">
        <v>12</v>
      </c>
      <c r="C51" s="6">
        <v>1.5625E-2</v>
      </c>
      <c r="D51" s="6">
        <v>2.4147727272727272E-2</v>
      </c>
      <c r="E51" s="6">
        <v>0</v>
      </c>
      <c r="F51" s="6">
        <v>0.8233468572030862</v>
      </c>
      <c r="G51">
        <v>77</v>
      </c>
      <c r="H51" s="6">
        <v>0.61398509702010973</v>
      </c>
      <c r="I51" s="4">
        <v>998011</v>
      </c>
      <c r="J51" s="4">
        <v>297966</v>
      </c>
      <c r="K51" s="4">
        <v>4655.71875</v>
      </c>
      <c r="L51">
        <v>0.14155555399689984</v>
      </c>
      <c r="M51">
        <v>73</v>
      </c>
      <c r="N51" s="6">
        <v>0.85105052583456131</v>
      </c>
      <c r="O51">
        <v>78</v>
      </c>
      <c r="P51">
        <v>10.96</v>
      </c>
      <c r="Q51" s="6">
        <v>0.83220045732756687</v>
      </c>
      <c r="R51">
        <v>74</v>
      </c>
      <c r="S51">
        <v>48</v>
      </c>
      <c r="T51">
        <v>81.400000000000006</v>
      </c>
    </row>
    <row r="52" spans="1:20" x14ac:dyDescent="0.2">
      <c r="A52" s="5">
        <v>45717</v>
      </c>
      <c r="B52" t="s">
        <v>12</v>
      </c>
      <c r="C52" s="6">
        <v>1.5873015873015872E-2</v>
      </c>
      <c r="D52" s="6">
        <v>2.813852813852814E-2</v>
      </c>
      <c r="E52" s="6">
        <v>8.6956521739130432E-2</v>
      </c>
      <c r="F52" s="6">
        <v>0.76294230095293802</v>
      </c>
      <c r="G52">
        <v>69</v>
      </c>
      <c r="H52" s="6">
        <v>0.53672267559629872</v>
      </c>
      <c r="I52" s="4">
        <v>982417</v>
      </c>
      <c r="J52" s="4">
        <v>257278</v>
      </c>
      <c r="K52" s="4">
        <v>4083.7777777777778</v>
      </c>
      <c r="L52">
        <v>0.1228460012397994</v>
      </c>
      <c r="M52">
        <v>65</v>
      </c>
      <c r="N52" s="6">
        <v>0.63624566950414962</v>
      </c>
      <c r="O52">
        <v>73</v>
      </c>
      <c r="P52">
        <v>14.16</v>
      </c>
      <c r="Q52" s="6">
        <v>0.73493168883670745</v>
      </c>
      <c r="R52">
        <v>164</v>
      </c>
      <c r="S52">
        <v>66</v>
      </c>
      <c r="T52">
        <v>76.2</v>
      </c>
    </row>
    <row r="53" spans="1:20" x14ac:dyDescent="0.2">
      <c r="A53" s="5">
        <v>45748</v>
      </c>
      <c r="B53" t="s">
        <v>12</v>
      </c>
      <c r="C53" s="6">
        <v>1.5873015873015872E-2</v>
      </c>
      <c r="D53" s="6">
        <v>3.3189033189033192E-2</v>
      </c>
      <c r="E53" s="6">
        <v>4.5454545454545456E-2</v>
      </c>
      <c r="F53" s="6">
        <v>0.93266831752695234</v>
      </c>
      <c r="G53">
        <v>73</v>
      </c>
      <c r="H53" s="6">
        <v>0.69428533227362554</v>
      </c>
      <c r="I53" s="4">
        <v>982417</v>
      </c>
      <c r="J53" s="4">
        <v>295380</v>
      </c>
      <c r="K53" s="4">
        <v>4688.5714285714284</v>
      </c>
      <c r="L53">
        <v>0.14852247060056981</v>
      </c>
      <c r="M53">
        <v>69</v>
      </c>
      <c r="N53" s="6">
        <v>0.92075704092074306</v>
      </c>
      <c r="O53">
        <v>74</v>
      </c>
      <c r="P53">
        <v>12.98</v>
      </c>
      <c r="Q53" s="6">
        <v>0.7682178199005093</v>
      </c>
      <c r="R53">
        <v>82</v>
      </c>
      <c r="S53">
        <v>59</v>
      </c>
      <c r="T53">
        <v>81.2</v>
      </c>
    </row>
    <row r="54" spans="1:20" x14ac:dyDescent="0.2">
      <c r="A54" s="5">
        <v>45778</v>
      </c>
      <c r="B54" t="s">
        <v>12</v>
      </c>
      <c r="C54" s="6">
        <v>1.5625E-2</v>
      </c>
      <c r="D54" s="6">
        <v>1.775568181818182E-2</v>
      </c>
      <c r="E54" s="6">
        <v>3.0303030303030304E-2</v>
      </c>
      <c r="F54" s="6">
        <v>0.7085494896733876</v>
      </c>
      <c r="G54">
        <v>53</v>
      </c>
      <c r="H54" s="6">
        <v>0.63372561914479597</v>
      </c>
      <c r="I54" s="4">
        <v>998011</v>
      </c>
      <c r="J54" s="4">
        <v>268253</v>
      </c>
      <c r="K54" s="4">
        <v>4191.453125</v>
      </c>
      <c r="L54">
        <v>0.15296424588506541</v>
      </c>
      <c r="M54">
        <v>59</v>
      </c>
      <c r="N54" s="6">
        <v>0.4928640663110741</v>
      </c>
      <c r="O54">
        <v>65</v>
      </c>
      <c r="P54">
        <v>11.81</v>
      </c>
      <c r="Q54" s="6">
        <v>0.79207181391332071</v>
      </c>
      <c r="R54">
        <v>43</v>
      </c>
      <c r="S54">
        <v>53</v>
      </c>
      <c r="T54">
        <v>75.5</v>
      </c>
    </row>
    <row r="55" spans="1:20" x14ac:dyDescent="0.2">
      <c r="A55" s="5">
        <v>45809</v>
      </c>
      <c r="B55" t="s">
        <v>12</v>
      </c>
      <c r="C55" s="6">
        <v>1.5151515151515152E-2</v>
      </c>
      <c r="D55" s="6">
        <v>3.2369146005509643E-2</v>
      </c>
      <c r="E55" s="6">
        <v>5.7142857142857141E-2</v>
      </c>
      <c r="F55" s="6">
        <v>0.8643333217862833</v>
      </c>
      <c r="G55">
        <v>68</v>
      </c>
      <c r="H55" s="6">
        <v>0.7303590947297165</v>
      </c>
      <c r="I55" s="4">
        <v>1029199</v>
      </c>
      <c r="J55" s="4">
        <v>289660</v>
      </c>
      <c r="K55" s="4">
        <v>4388.787878787879</v>
      </c>
      <c r="L55">
        <v>0.15278483558573219</v>
      </c>
      <c r="M55">
        <v>75</v>
      </c>
      <c r="N55" s="6">
        <v>0.77185818493280323</v>
      </c>
      <c r="O55">
        <v>76</v>
      </c>
      <c r="P55">
        <v>12.23</v>
      </c>
      <c r="Q55" s="6">
        <v>0.85436842475623331</v>
      </c>
      <c r="R55">
        <v>164</v>
      </c>
      <c r="S55">
        <v>54</v>
      </c>
      <c r="T55">
        <v>80.8</v>
      </c>
    </row>
    <row r="56" spans="1:20" x14ac:dyDescent="0.2">
      <c r="A56" s="5">
        <v>45839</v>
      </c>
      <c r="B56" t="s">
        <v>12</v>
      </c>
      <c r="C56" s="6">
        <v>1.5625E-2</v>
      </c>
      <c r="D56" s="6">
        <v>1.6335227272727272E-2</v>
      </c>
      <c r="E56" s="6">
        <v>4.4776119402985072E-2</v>
      </c>
      <c r="F56" s="6">
        <v>0.94042003862988699</v>
      </c>
      <c r="G56">
        <v>65</v>
      </c>
      <c r="H56" s="6">
        <v>0.88853986425747911</v>
      </c>
      <c r="I56" s="4">
        <v>998011</v>
      </c>
      <c r="J56" s="4">
        <v>272540</v>
      </c>
      <c r="K56" s="4">
        <v>4258.4375</v>
      </c>
      <c r="L56">
        <v>0.15752130988536198</v>
      </c>
      <c r="M56">
        <v>60</v>
      </c>
      <c r="N56" s="6">
        <v>0.74236807195204368</v>
      </c>
      <c r="O56">
        <v>73</v>
      </c>
      <c r="P56">
        <v>11.31</v>
      </c>
      <c r="Q56" s="6">
        <v>0.82159449227770476</v>
      </c>
      <c r="R56">
        <v>115</v>
      </c>
      <c r="S56">
        <v>52</v>
      </c>
      <c r="T56">
        <v>85.2</v>
      </c>
    </row>
    <row r="57" spans="1:20" x14ac:dyDescent="0.2">
      <c r="A57" s="5">
        <v>45870</v>
      </c>
      <c r="B57" t="s">
        <v>12</v>
      </c>
      <c r="C57" s="6">
        <v>1.5625E-2</v>
      </c>
      <c r="D57" s="6">
        <v>2.4857954545454544E-2</v>
      </c>
      <c r="E57" s="6">
        <v>1.5384615384615385E-2</v>
      </c>
      <c r="F57" s="6">
        <v>0.93091277284874552</v>
      </c>
      <c r="G57">
        <v>69</v>
      </c>
      <c r="H57" s="6">
        <v>0.74338783198992475</v>
      </c>
      <c r="I57" s="4">
        <v>998011</v>
      </c>
      <c r="J57" s="4">
        <v>289427</v>
      </c>
      <c r="K57" s="4">
        <v>4522.296875</v>
      </c>
      <c r="L57">
        <v>0.14141026501711906</v>
      </c>
      <c r="M57">
        <v>66</v>
      </c>
      <c r="N57" s="6">
        <v>0.78579541108689355</v>
      </c>
      <c r="O57">
        <v>71</v>
      </c>
      <c r="P57">
        <v>12.03</v>
      </c>
      <c r="Q57" s="6">
        <v>0.80088171880535552</v>
      </c>
      <c r="R57">
        <v>83</v>
      </c>
      <c r="S57">
        <v>52</v>
      </c>
      <c r="T57">
        <v>82.6</v>
      </c>
    </row>
    <row r="58" spans="1:20" x14ac:dyDescent="0.2">
      <c r="A58" s="5">
        <v>45901</v>
      </c>
      <c r="B58" t="s">
        <v>12</v>
      </c>
      <c r="C58" s="6">
        <v>1.5625E-2</v>
      </c>
      <c r="D58" s="6">
        <v>1.3494318181818182E-2</v>
      </c>
      <c r="E58" s="6">
        <v>4.4776119402985072E-2</v>
      </c>
      <c r="F58" s="6">
        <v>0.83005904944212716</v>
      </c>
      <c r="G58">
        <v>67</v>
      </c>
      <c r="H58" s="6">
        <v>0.81764526045682939</v>
      </c>
      <c r="I58" s="4">
        <v>998011</v>
      </c>
      <c r="J58" s="4">
        <v>277559</v>
      </c>
      <c r="K58" s="4">
        <v>4336.859375</v>
      </c>
      <c r="L58">
        <v>0.14714767672901402</v>
      </c>
      <c r="M58">
        <v>70</v>
      </c>
      <c r="N58" s="6">
        <v>0.65329749440532514</v>
      </c>
      <c r="O58">
        <v>73</v>
      </c>
      <c r="P58">
        <v>10.97</v>
      </c>
      <c r="Q58" s="6">
        <v>0.75800720834232427</v>
      </c>
      <c r="R58">
        <v>80</v>
      </c>
      <c r="S58">
        <v>56</v>
      </c>
      <c r="T58">
        <v>82.6</v>
      </c>
    </row>
    <row r="59" spans="1:20" x14ac:dyDescent="0.2">
      <c r="A59" s="5">
        <v>45931</v>
      </c>
      <c r="B59" t="s">
        <v>12</v>
      </c>
      <c r="C59" s="6">
        <v>1.5625E-2</v>
      </c>
      <c r="D59" s="6">
        <v>2.0596590909090908E-2</v>
      </c>
      <c r="E59" s="6">
        <v>3.0303030303030304E-2</v>
      </c>
      <c r="F59" s="6">
        <v>0.81108700347781504</v>
      </c>
      <c r="G59">
        <v>59</v>
      </c>
      <c r="H59" s="6">
        <v>0.698843277600673</v>
      </c>
      <c r="I59" s="4">
        <v>998011</v>
      </c>
      <c r="J59" s="4">
        <v>248952</v>
      </c>
      <c r="K59" s="4">
        <v>3889.875</v>
      </c>
      <c r="L59">
        <v>0.14678595726900806</v>
      </c>
      <c r="M59">
        <v>59</v>
      </c>
      <c r="N59" s="6">
        <v>0.75277422403147431</v>
      </c>
      <c r="O59">
        <v>69</v>
      </c>
      <c r="P59">
        <v>10.79</v>
      </c>
      <c r="Q59" s="6">
        <v>0.81210603630808931</v>
      </c>
      <c r="R59">
        <v>53</v>
      </c>
      <c r="S59">
        <v>52</v>
      </c>
      <c r="T59">
        <v>78.900000000000006</v>
      </c>
    </row>
    <row r="60" spans="1:20" x14ac:dyDescent="0.2">
      <c r="A60" s="5">
        <v>45962</v>
      </c>
      <c r="B60" t="s">
        <v>12</v>
      </c>
      <c r="C60" s="6">
        <v>1.5625E-2</v>
      </c>
      <c r="D60" s="6">
        <v>1.8465909090909092E-2</v>
      </c>
      <c r="E60" s="6">
        <v>3.0303030303030304E-2</v>
      </c>
      <c r="F60" s="6">
        <v>0.75119267280103752</v>
      </c>
      <c r="G60">
        <v>72</v>
      </c>
      <c r="H60" s="6">
        <v>0.60475507330482237</v>
      </c>
      <c r="I60" s="4">
        <v>998011</v>
      </c>
      <c r="J60" s="4">
        <v>288073</v>
      </c>
      <c r="K60" s="4">
        <v>4501.140625</v>
      </c>
      <c r="L60">
        <v>0.14808854812221509</v>
      </c>
      <c r="M60">
        <v>70</v>
      </c>
      <c r="N60" s="6">
        <v>0.77770050312108985</v>
      </c>
      <c r="O60">
        <v>72</v>
      </c>
      <c r="P60">
        <v>11.89</v>
      </c>
      <c r="Q60" s="6">
        <v>0.81452313975809187</v>
      </c>
      <c r="R60">
        <v>117</v>
      </c>
      <c r="S60">
        <v>52</v>
      </c>
      <c r="T60">
        <v>79.8</v>
      </c>
    </row>
    <row r="61" spans="1:20" x14ac:dyDescent="0.2">
      <c r="A61" s="5">
        <v>45992</v>
      </c>
      <c r="B61" t="s">
        <v>12</v>
      </c>
      <c r="C61" s="6">
        <v>1.5384615384615385E-2</v>
      </c>
      <c r="D61" s="6">
        <v>2.7972027972027972E-2</v>
      </c>
      <c r="E61" s="6">
        <v>2.9850746268656716E-2</v>
      </c>
      <c r="F61" s="6">
        <v>0.89133526358257675</v>
      </c>
      <c r="G61">
        <v>65</v>
      </c>
      <c r="H61" s="6">
        <v>0.59486939863190313</v>
      </c>
      <c r="I61" s="4">
        <v>1013605</v>
      </c>
      <c r="J61" s="4">
        <v>278530</v>
      </c>
      <c r="K61" s="4">
        <v>4285.0769230769229</v>
      </c>
      <c r="L61">
        <v>0.12304497314042452</v>
      </c>
      <c r="M61">
        <v>59</v>
      </c>
      <c r="N61" s="6">
        <v>0.68503334890662138</v>
      </c>
      <c r="O61">
        <v>76</v>
      </c>
      <c r="P61">
        <v>12.49</v>
      </c>
      <c r="Q61" s="6">
        <v>0.83697400324268267</v>
      </c>
      <c r="R61">
        <v>68</v>
      </c>
      <c r="S61">
        <v>52</v>
      </c>
      <c r="T61">
        <v>79.400000000000006</v>
      </c>
    </row>
    <row r="62" spans="1:20" x14ac:dyDescent="0.2">
      <c r="A62" s="5">
        <v>45658</v>
      </c>
      <c r="B62" t="s">
        <v>124</v>
      </c>
      <c r="C62" s="6">
        <v>0.02</v>
      </c>
      <c r="D62" s="6">
        <v>2.0909090909090908E-2</v>
      </c>
      <c r="E62" s="6">
        <v>5.6603773584905662E-2</v>
      </c>
      <c r="F62" s="6">
        <v>0.84806967524502441</v>
      </c>
      <c r="G62">
        <v>62</v>
      </c>
      <c r="H62" s="6">
        <v>0.74665249990183813</v>
      </c>
      <c r="I62" s="4">
        <v>674535</v>
      </c>
      <c r="J62" s="4">
        <v>206041</v>
      </c>
      <c r="K62" s="4">
        <v>4120.82</v>
      </c>
      <c r="L62">
        <v>0.15839504251076666</v>
      </c>
      <c r="M62">
        <v>61</v>
      </c>
      <c r="N62" s="6">
        <v>0.75954968497055775</v>
      </c>
      <c r="O62">
        <v>70</v>
      </c>
      <c r="P62">
        <v>13.95</v>
      </c>
      <c r="Q62" s="6">
        <v>0.74176708741282771</v>
      </c>
      <c r="R62">
        <v>110</v>
      </c>
      <c r="S62">
        <v>61</v>
      </c>
      <c r="T62">
        <v>79.5</v>
      </c>
    </row>
    <row r="63" spans="1:20" x14ac:dyDescent="0.2">
      <c r="A63" s="5">
        <v>45689</v>
      </c>
      <c r="B63" t="s">
        <v>124</v>
      </c>
      <c r="C63" s="6">
        <v>0.02</v>
      </c>
      <c r="D63" s="6">
        <v>2.2727272727272728E-2</v>
      </c>
      <c r="E63" s="6">
        <v>7.407407407407407E-2</v>
      </c>
      <c r="F63" s="6">
        <v>0.80303622775623584</v>
      </c>
      <c r="G63">
        <v>62</v>
      </c>
      <c r="H63" s="6">
        <v>0.50741383407709384</v>
      </c>
      <c r="I63" s="4">
        <v>674535</v>
      </c>
      <c r="J63" s="4">
        <v>205636</v>
      </c>
      <c r="K63" s="4">
        <v>4112.72</v>
      </c>
      <c r="L63">
        <v>0.14974908640767343</v>
      </c>
      <c r="M63">
        <v>60</v>
      </c>
      <c r="N63" s="6">
        <v>0.76757161830498832</v>
      </c>
      <c r="O63">
        <v>70</v>
      </c>
      <c r="P63">
        <v>12.42</v>
      </c>
      <c r="Q63" s="6">
        <v>0.81174586018367501</v>
      </c>
      <c r="R63">
        <v>95</v>
      </c>
      <c r="S63">
        <v>58</v>
      </c>
      <c r="T63">
        <v>76.5</v>
      </c>
    </row>
    <row r="64" spans="1:20" x14ac:dyDescent="0.2">
      <c r="A64" s="5">
        <v>45717</v>
      </c>
      <c r="B64" t="s">
        <v>124</v>
      </c>
      <c r="C64" s="6">
        <v>2.0833333333333332E-2</v>
      </c>
      <c r="D64" s="6">
        <v>2.1780303030303032E-2</v>
      </c>
      <c r="E64" s="6">
        <v>0.04</v>
      </c>
      <c r="F64" s="6">
        <v>0.73460797777739284</v>
      </c>
      <c r="G64">
        <v>64</v>
      </c>
      <c r="H64" s="6">
        <v>0.48351800545965329</v>
      </c>
      <c r="I64" s="4">
        <v>647554</v>
      </c>
      <c r="J64" s="4">
        <v>200840</v>
      </c>
      <c r="K64" s="4">
        <v>4184.166666666667</v>
      </c>
      <c r="L64">
        <v>0.16189074579108462</v>
      </c>
      <c r="M64">
        <v>66</v>
      </c>
      <c r="N64" s="6">
        <v>0.6859566436022565</v>
      </c>
      <c r="O64">
        <v>72</v>
      </c>
      <c r="P64">
        <v>13.09</v>
      </c>
      <c r="Q64" s="6">
        <v>0.81776670230389936</v>
      </c>
      <c r="R64">
        <v>67</v>
      </c>
      <c r="S64">
        <v>54</v>
      </c>
      <c r="T64">
        <v>75.7</v>
      </c>
    </row>
    <row r="65" spans="1:20" x14ac:dyDescent="0.2">
      <c r="A65" s="5">
        <v>45748</v>
      </c>
      <c r="B65" t="s">
        <v>124</v>
      </c>
      <c r="C65" s="6">
        <v>2.0833333333333332E-2</v>
      </c>
      <c r="D65" s="6">
        <v>1.7045454545454544E-2</v>
      </c>
      <c r="E65" s="6">
        <v>2.0408163265306121E-2</v>
      </c>
      <c r="F65" s="6">
        <v>0.76178890586878534</v>
      </c>
      <c r="G65">
        <v>68</v>
      </c>
      <c r="H65" s="6">
        <v>0.64633939708340338</v>
      </c>
      <c r="I65" s="4">
        <v>647554</v>
      </c>
      <c r="J65" s="4">
        <v>202152</v>
      </c>
      <c r="K65" s="4">
        <v>4211.5</v>
      </c>
      <c r="L65">
        <v>0.16337170336373491</v>
      </c>
      <c r="M65">
        <v>61</v>
      </c>
      <c r="N65" s="6">
        <v>0.67245996956533449</v>
      </c>
      <c r="O65">
        <v>72</v>
      </c>
      <c r="P65">
        <v>11.15</v>
      </c>
      <c r="Q65" s="6">
        <v>0.83022808048608199</v>
      </c>
      <c r="R65">
        <v>64</v>
      </c>
      <c r="S65">
        <v>50</v>
      </c>
      <c r="T65">
        <v>79.7</v>
      </c>
    </row>
    <row r="66" spans="1:20" x14ac:dyDescent="0.2">
      <c r="A66" s="5">
        <v>45778</v>
      </c>
      <c r="B66" t="s">
        <v>124</v>
      </c>
      <c r="C66" s="6">
        <v>2.0833333333333332E-2</v>
      </c>
      <c r="D66" s="6">
        <v>1.7992424242424244E-2</v>
      </c>
      <c r="E66" s="6">
        <v>5.8823529411764705E-2</v>
      </c>
      <c r="F66" s="6">
        <v>0.74371270211110507</v>
      </c>
      <c r="G66">
        <v>70</v>
      </c>
      <c r="H66" s="6">
        <v>0.73623875867201205</v>
      </c>
      <c r="I66" s="4">
        <v>647554</v>
      </c>
      <c r="J66" s="4">
        <v>183143</v>
      </c>
      <c r="K66" s="4">
        <v>3815.4791666666665</v>
      </c>
      <c r="L66">
        <v>0.17456150375103852</v>
      </c>
      <c r="M66">
        <v>68</v>
      </c>
      <c r="N66" s="6">
        <v>0.72583468840912313</v>
      </c>
      <c r="O66">
        <v>66</v>
      </c>
      <c r="P66">
        <v>12.07</v>
      </c>
      <c r="Q66" s="6">
        <v>0.76045225661402571</v>
      </c>
      <c r="R66">
        <v>112</v>
      </c>
      <c r="S66">
        <v>59</v>
      </c>
      <c r="T66">
        <v>79.900000000000006</v>
      </c>
    </row>
    <row r="67" spans="1:20" x14ac:dyDescent="0.2">
      <c r="A67" s="5">
        <v>45809</v>
      </c>
      <c r="B67" t="s">
        <v>124</v>
      </c>
      <c r="C67" s="6">
        <v>2.0833333333333332E-2</v>
      </c>
      <c r="D67" s="6">
        <v>2.462121212121212E-2</v>
      </c>
      <c r="E67" s="6">
        <v>0</v>
      </c>
      <c r="F67" s="6">
        <v>0.66402632552995999</v>
      </c>
      <c r="G67">
        <v>72</v>
      </c>
      <c r="H67" s="6">
        <v>0.68270577687229617</v>
      </c>
      <c r="I67" s="4">
        <v>647554</v>
      </c>
      <c r="J67" s="4">
        <v>193615</v>
      </c>
      <c r="K67" s="4">
        <v>4033.6458333333335</v>
      </c>
      <c r="L67">
        <v>0.15576770431500694</v>
      </c>
      <c r="M67">
        <v>75</v>
      </c>
      <c r="N67" s="6">
        <v>0.84034756716869818</v>
      </c>
      <c r="O67">
        <v>80</v>
      </c>
      <c r="P67">
        <v>11.14</v>
      </c>
      <c r="Q67" s="6">
        <v>0.87750298879169064</v>
      </c>
      <c r="R67">
        <v>78</v>
      </c>
      <c r="S67">
        <v>45</v>
      </c>
      <c r="T67">
        <v>78.8</v>
      </c>
    </row>
    <row r="68" spans="1:20" x14ac:dyDescent="0.2">
      <c r="A68" s="5">
        <v>45839</v>
      </c>
      <c r="B68" t="s">
        <v>124</v>
      </c>
      <c r="C68" s="6">
        <v>0.02</v>
      </c>
      <c r="D68" s="6">
        <v>2.4545454545454544E-2</v>
      </c>
      <c r="E68" s="6">
        <v>0</v>
      </c>
      <c r="F68" s="6">
        <v>0.75419702175965575</v>
      </c>
      <c r="G68">
        <v>67</v>
      </c>
      <c r="H68" s="6">
        <v>0.69015784527067492</v>
      </c>
      <c r="I68" s="4">
        <v>674535</v>
      </c>
      <c r="J68" s="4">
        <v>201570</v>
      </c>
      <c r="K68" s="4">
        <v>4031.4</v>
      </c>
      <c r="L68">
        <v>0.13877560096955679</v>
      </c>
      <c r="M68">
        <v>66</v>
      </c>
      <c r="N68" s="6">
        <v>0.64067943320281806</v>
      </c>
      <c r="O68">
        <v>75</v>
      </c>
      <c r="P68">
        <v>11.54</v>
      </c>
      <c r="Q68" s="6">
        <v>0.80050694723261984</v>
      </c>
      <c r="R68">
        <v>78</v>
      </c>
      <c r="S68">
        <v>50</v>
      </c>
      <c r="T68">
        <v>78.5</v>
      </c>
    </row>
    <row r="69" spans="1:20" x14ac:dyDescent="0.2">
      <c r="A69" s="5">
        <v>45870</v>
      </c>
      <c r="B69" t="s">
        <v>124</v>
      </c>
      <c r="C69" s="6">
        <v>1.9230769230769232E-2</v>
      </c>
      <c r="D69" s="6">
        <v>3.3216783216783216E-2</v>
      </c>
      <c r="E69" s="6">
        <v>1.8867924528301886E-2</v>
      </c>
      <c r="F69" s="6">
        <v>0.95028339947771623</v>
      </c>
      <c r="G69">
        <v>64</v>
      </c>
      <c r="H69" s="6">
        <v>0.4346281484333186</v>
      </c>
      <c r="I69" s="4">
        <v>701517</v>
      </c>
      <c r="J69" s="4">
        <v>209008</v>
      </c>
      <c r="K69" s="4">
        <v>4019.3846153846152</v>
      </c>
      <c r="L69">
        <v>0.1506335555660091</v>
      </c>
      <c r="M69">
        <v>64</v>
      </c>
      <c r="N69" s="6">
        <v>0.71180469277190783</v>
      </c>
      <c r="O69">
        <v>70</v>
      </c>
      <c r="P69">
        <v>12.55</v>
      </c>
      <c r="Q69" s="6">
        <v>0.81652653279257636</v>
      </c>
      <c r="R69">
        <v>76</v>
      </c>
      <c r="S69">
        <v>53</v>
      </c>
      <c r="T69">
        <v>77</v>
      </c>
    </row>
    <row r="70" spans="1:20" x14ac:dyDescent="0.2">
      <c r="A70" s="5">
        <v>45901</v>
      </c>
      <c r="B70" t="s">
        <v>124</v>
      </c>
      <c r="C70" s="6">
        <v>1.9230769230769232E-2</v>
      </c>
      <c r="D70" s="6">
        <v>3.0594405594405596E-2</v>
      </c>
      <c r="E70" s="6">
        <v>0.10344827586206896</v>
      </c>
      <c r="F70" s="6">
        <v>0.85824803069560529</v>
      </c>
      <c r="G70">
        <v>67</v>
      </c>
      <c r="H70" s="6">
        <v>0.29126268005864175</v>
      </c>
      <c r="I70" s="4">
        <v>701517</v>
      </c>
      <c r="J70" s="4">
        <v>177842</v>
      </c>
      <c r="K70" s="4">
        <v>3420.0384615384614</v>
      </c>
      <c r="L70">
        <v>0.14892725336663259</v>
      </c>
      <c r="M70">
        <v>69</v>
      </c>
      <c r="N70" s="6">
        <v>0.71955843429029909</v>
      </c>
      <c r="O70">
        <v>71</v>
      </c>
      <c r="P70">
        <v>14.88</v>
      </c>
      <c r="Q70" s="6">
        <v>0.73012121427362708</v>
      </c>
      <c r="R70">
        <v>74</v>
      </c>
      <c r="S70">
        <v>69</v>
      </c>
      <c r="T70">
        <v>73.7</v>
      </c>
    </row>
    <row r="71" spans="1:20" x14ac:dyDescent="0.2">
      <c r="A71" s="5">
        <v>45931</v>
      </c>
      <c r="B71" t="s">
        <v>124</v>
      </c>
      <c r="C71" s="6">
        <v>1.8518518518518517E-2</v>
      </c>
      <c r="D71" s="6">
        <v>1.1784511784511785E-2</v>
      </c>
      <c r="E71" s="6">
        <v>5.2631578947368418E-2</v>
      </c>
      <c r="F71" s="6">
        <v>0.83654110879691557</v>
      </c>
      <c r="G71">
        <v>83</v>
      </c>
      <c r="H71" s="6">
        <v>0.55677705282666234</v>
      </c>
      <c r="I71" s="4">
        <v>728498</v>
      </c>
      <c r="J71" s="4">
        <v>208633</v>
      </c>
      <c r="K71" s="4">
        <v>3863.5740740740739</v>
      </c>
      <c r="L71">
        <v>0.15467715765863463</v>
      </c>
      <c r="M71">
        <v>75</v>
      </c>
      <c r="N71" s="6">
        <v>0.74936388369318563</v>
      </c>
      <c r="O71">
        <v>79</v>
      </c>
      <c r="P71">
        <v>11.69</v>
      </c>
      <c r="Q71" s="6">
        <v>0.79640436877055421</v>
      </c>
      <c r="R71">
        <v>53</v>
      </c>
      <c r="S71">
        <v>55</v>
      </c>
      <c r="T71">
        <v>83.3</v>
      </c>
    </row>
    <row r="72" spans="1:20" x14ac:dyDescent="0.2">
      <c r="A72" s="5">
        <v>45962</v>
      </c>
      <c r="B72" t="s">
        <v>124</v>
      </c>
      <c r="C72" s="6">
        <v>1.8518518518518517E-2</v>
      </c>
      <c r="D72" s="6">
        <v>2.1043771043771045E-2</v>
      </c>
      <c r="E72" s="6">
        <v>5.2631578947368418E-2</v>
      </c>
      <c r="F72" s="6">
        <v>0.91635641791665046</v>
      </c>
      <c r="G72">
        <v>73</v>
      </c>
      <c r="H72" s="6">
        <v>0.49694900413018422</v>
      </c>
      <c r="I72" s="4">
        <v>728498</v>
      </c>
      <c r="J72" s="4">
        <v>216266</v>
      </c>
      <c r="K72" s="4">
        <v>4004.9259259259261</v>
      </c>
      <c r="L72">
        <v>0.18201010846975557</v>
      </c>
      <c r="M72">
        <v>70</v>
      </c>
      <c r="N72" s="6">
        <v>0.6682270678456953</v>
      </c>
      <c r="O72">
        <v>74</v>
      </c>
      <c r="P72">
        <v>11.52</v>
      </c>
      <c r="Q72" s="6">
        <v>0.83189256846536763</v>
      </c>
      <c r="R72">
        <v>95</v>
      </c>
      <c r="S72">
        <v>54</v>
      </c>
      <c r="T72">
        <v>81</v>
      </c>
    </row>
    <row r="73" spans="1:20" x14ac:dyDescent="0.2">
      <c r="A73" s="5">
        <v>45992</v>
      </c>
      <c r="B73" t="s">
        <v>124</v>
      </c>
      <c r="C73" s="6">
        <v>1.8518518518518517E-2</v>
      </c>
      <c r="D73" s="6">
        <v>2.9461279461279462E-2</v>
      </c>
      <c r="E73" s="6">
        <v>0.11475409836065574</v>
      </c>
      <c r="F73" s="6">
        <v>0.7217889200064781</v>
      </c>
      <c r="G73">
        <v>66</v>
      </c>
      <c r="H73" s="6">
        <v>0.82306379722285139</v>
      </c>
      <c r="I73" s="4">
        <v>728498</v>
      </c>
      <c r="J73" s="4">
        <v>185344</v>
      </c>
      <c r="K73" s="4">
        <v>3432.2962962962961</v>
      </c>
      <c r="L73">
        <v>0.13767917001831165</v>
      </c>
      <c r="M73">
        <v>57</v>
      </c>
      <c r="N73" s="6">
        <v>0.61377876696345524</v>
      </c>
      <c r="O73">
        <v>66</v>
      </c>
      <c r="P73">
        <v>14.88</v>
      </c>
      <c r="Q73" s="6">
        <v>0.74944984429923234</v>
      </c>
      <c r="R73">
        <v>124</v>
      </c>
      <c r="S73">
        <v>68</v>
      </c>
      <c r="T73">
        <v>78.2</v>
      </c>
    </row>
    <row r="74" spans="1:20" x14ac:dyDescent="0.2">
      <c r="A74" s="5">
        <v>45658</v>
      </c>
      <c r="B74" t="s">
        <v>133</v>
      </c>
      <c r="C74" s="6">
        <v>1.6129032258064516E-2</v>
      </c>
      <c r="D74" s="6">
        <v>3.2991202346041054E-2</v>
      </c>
      <c r="E74" s="6">
        <v>4.6153846153846156E-2</v>
      </c>
      <c r="F74" s="6">
        <v>0.75110177173136561</v>
      </c>
      <c r="G74">
        <v>66</v>
      </c>
      <c r="H74" s="6">
        <v>0.85777395542720014</v>
      </c>
      <c r="I74" s="4">
        <v>925910</v>
      </c>
      <c r="J74" s="4">
        <v>306285</v>
      </c>
      <c r="K74" s="4">
        <v>4940.0806451612907</v>
      </c>
      <c r="L74">
        <v>0.20305861260813687</v>
      </c>
      <c r="M74">
        <v>64</v>
      </c>
      <c r="N74" s="6">
        <v>0.62916990613977963</v>
      </c>
      <c r="O74">
        <v>63</v>
      </c>
      <c r="P74">
        <v>12.7</v>
      </c>
      <c r="Q74" s="6">
        <v>0.70827591844134474</v>
      </c>
      <c r="R74">
        <v>106</v>
      </c>
      <c r="S74">
        <v>64</v>
      </c>
      <c r="T74">
        <v>78.2</v>
      </c>
    </row>
    <row r="75" spans="1:20" x14ac:dyDescent="0.2">
      <c r="A75" s="5">
        <v>45689</v>
      </c>
      <c r="B75" t="s">
        <v>133</v>
      </c>
      <c r="C75" s="6">
        <v>1.6129032258064516E-2</v>
      </c>
      <c r="D75" s="6">
        <v>3.519061583577713E-2</v>
      </c>
      <c r="E75" s="6">
        <v>6.0606060606060608E-2</v>
      </c>
      <c r="F75" s="6">
        <v>0.7511640566291462</v>
      </c>
      <c r="G75">
        <v>53</v>
      </c>
      <c r="H75" s="6">
        <v>0.71359078377932672</v>
      </c>
      <c r="I75" s="4">
        <v>925910</v>
      </c>
      <c r="J75" s="4">
        <v>316329</v>
      </c>
      <c r="K75" s="4">
        <v>5102.0806451612907</v>
      </c>
      <c r="L75">
        <v>0.19008758950653951</v>
      </c>
      <c r="M75">
        <v>59</v>
      </c>
      <c r="N75" s="6">
        <v>0.66816200276289095</v>
      </c>
      <c r="O75">
        <v>65</v>
      </c>
      <c r="P75">
        <v>14.37</v>
      </c>
      <c r="Q75" s="6">
        <v>0.77759047700048445</v>
      </c>
      <c r="R75">
        <v>100</v>
      </c>
      <c r="S75">
        <v>61</v>
      </c>
      <c r="T75">
        <v>74.400000000000006</v>
      </c>
    </row>
    <row r="76" spans="1:20" x14ac:dyDescent="0.2">
      <c r="A76" s="5">
        <v>45717</v>
      </c>
      <c r="B76" t="s">
        <v>133</v>
      </c>
      <c r="C76" s="6">
        <v>1.5625E-2</v>
      </c>
      <c r="D76" s="6">
        <v>3.125E-2</v>
      </c>
      <c r="E76" s="6">
        <v>1.5384615384615385E-2</v>
      </c>
      <c r="F76" s="6">
        <v>0.89299475928775129</v>
      </c>
      <c r="G76">
        <v>75</v>
      </c>
      <c r="H76" s="6">
        <v>0.47075610214437646</v>
      </c>
      <c r="I76" s="4">
        <v>955778</v>
      </c>
      <c r="J76" s="4">
        <v>367534</v>
      </c>
      <c r="K76" s="4">
        <v>5742.71875</v>
      </c>
      <c r="L76">
        <v>0.16734429961769365</v>
      </c>
      <c r="M76">
        <v>74</v>
      </c>
      <c r="N76" s="6">
        <v>0.79436680541623428</v>
      </c>
      <c r="O76">
        <v>79</v>
      </c>
      <c r="P76">
        <v>11.92</v>
      </c>
      <c r="Q76" s="6">
        <v>0.80962406147135424</v>
      </c>
      <c r="R76">
        <v>126</v>
      </c>
      <c r="S76">
        <v>52</v>
      </c>
      <c r="T76">
        <v>79.099999999999994</v>
      </c>
    </row>
    <row r="77" spans="1:20" x14ac:dyDescent="0.2">
      <c r="A77" s="5">
        <v>45748</v>
      </c>
      <c r="B77" t="s">
        <v>133</v>
      </c>
      <c r="C77" s="6">
        <v>1.5151515151515152E-2</v>
      </c>
      <c r="D77" s="6">
        <v>2.8236914600550965E-2</v>
      </c>
      <c r="E77" s="6">
        <v>2.9411764705882353E-2</v>
      </c>
      <c r="F77" s="6">
        <v>0.85632700896277136</v>
      </c>
      <c r="G77">
        <v>63</v>
      </c>
      <c r="H77" s="6">
        <v>0.68389428477812464</v>
      </c>
      <c r="I77" s="4">
        <v>985646</v>
      </c>
      <c r="J77" s="4">
        <v>362164</v>
      </c>
      <c r="K77" s="4">
        <v>5487.333333333333</v>
      </c>
      <c r="L77">
        <v>0.1624609646871189</v>
      </c>
      <c r="M77">
        <v>65</v>
      </c>
      <c r="N77" s="6">
        <v>0.71771957512705453</v>
      </c>
      <c r="O77">
        <v>71</v>
      </c>
      <c r="P77">
        <v>11.63</v>
      </c>
      <c r="Q77" s="6">
        <v>0.76942735564647347</v>
      </c>
      <c r="R77">
        <v>123</v>
      </c>
      <c r="S77">
        <v>56</v>
      </c>
      <c r="T77">
        <v>78.7</v>
      </c>
    </row>
    <row r="78" spans="1:20" x14ac:dyDescent="0.2">
      <c r="A78" s="5">
        <v>45778</v>
      </c>
      <c r="B78" t="s">
        <v>133</v>
      </c>
      <c r="C78" s="6">
        <v>1.4705882352941176E-2</v>
      </c>
      <c r="D78" s="6">
        <v>2.5401069518716578E-2</v>
      </c>
      <c r="E78" s="6">
        <v>2.8571428571428571E-2</v>
      </c>
      <c r="F78" s="6">
        <v>0.8135974745877812</v>
      </c>
      <c r="G78">
        <v>66</v>
      </c>
      <c r="H78" s="6">
        <v>0.31371602875336269</v>
      </c>
      <c r="I78" s="4">
        <v>1015514</v>
      </c>
      <c r="J78" s="4">
        <v>359610</v>
      </c>
      <c r="K78" s="4">
        <v>5288.3823529411766</v>
      </c>
      <c r="L78">
        <v>0.21712649948695931</v>
      </c>
      <c r="M78">
        <v>67</v>
      </c>
      <c r="N78" s="6">
        <v>0.81554172944904402</v>
      </c>
      <c r="O78">
        <v>70</v>
      </c>
      <c r="P78">
        <v>13.16</v>
      </c>
      <c r="Q78" s="6">
        <v>0.78788156498218742</v>
      </c>
      <c r="R78">
        <v>103</v>
      </c>
      <c r="S78">
        <v>55</v>
      </c>
      <c r="T78">
        <v>74.8</v>
      </c>
    </row>
    <row r="79" spans="1:20" x14ac:dyDescent="0.2">
      <c r="A79" s="5">
        <v>45809</v>
      </c>
      <c r="B79" t="s">
        <v>133</v>
      </c>
      <c r="C79" s="6">
        <v>1.4285714285714285E-2</v>
      </c>
      <c r="D79" s="6">
        <v>3.0519480519480519E-2</v>
      </c>
      <c r="E79" s="6">
        <v>0</v>
      </c>
      <c r="F79" s="6">
        <v>0.70074266452645784</v>
      </c>
      <c r="G79">
        <v>64</v>
      </c>
      <c r="H79" s="6">
        <v>0.93585845428704029</v>
      </c>
      <c r="I79" s="4">
        <v>1045382</v>
      </c>
      <c r="J79" s="4">
        <v>372162</v>
      </c>
      <c r="K79" s="4">
        <v>5316.6</v>
      </c>
      <c r="L79">
        <v>0.1956366189584286</v>
      </c>
      <c r="M79">
        <v>66</v>
      </c>
      <c r="N79" s="6">
        <v>0.72637892751011934</v>
      </c>
      <c r="O79">
        <v>69</v>
      </c>
      <c r="P79">
        <v>10.3</v>
      </c>
      <c r="Q79" s="6">
        <v>0.78701513066760465</v>
      </c>
      <c r="R79">
        <v>138</v>
      </c>
      <c r="S79">
        <v>52</v>
      </c>
      <c r="T79">
        <v>79.3</v>
      </c>
    </row>
    <row r="80" spans="1:20" x14ac:dyDescent="0.2">
      <c r="A80" s="5">
        <v>45839</v>
      </c>
      <c r="B80" t="s">
        <v>133</v>
      </c>
      <c r="C80" s="6">
        <v>1.4084507042253521E-2</v>
      </c>
      <c r="D80" s="6">
        <v>2.0486555697823303E-2</v>
      </c>
      <c r="E80" s="6">
        <v>8.9743589743589744E-2</v>
      </c>
      <c r="F80" s="6">
        <v>0.76340357216644983</v>
      </c>
      <c r="G80">
        <v>49</v>
      </c>
      <c r="H80" s="6">
        <v>0.73112857289127164</v>
      </c>
      <c r="I80" s="4">
        <v>1060316</v>
      </c>
      <c r="J80" s="4">
        <v>320356</v>
      </c>
      <c r="K80" s="4">
        <v>4512.0563380281692</v>
      </c>
      <c r="L80">
        <v>0.14137577854149141</v>
      </c>
      <c r="M80">
        <v>62</v>
      </c>
      <c r="N80" s="6">
        <v>0.69465941474670434</v>
      </c>
      <c r="O80">
        <v>63</v>
      </c>
      <c r="P80">
        <v>14.76</v>
      </c>
      <c r="Q80" s="6">
        <v>0.7951454118970166</v>
      </c>
      <c r="R80">
        <v>181</v>
      </c>
      <c r="S80">
        <v>60</v>
      </c>
      <c r="T80">
        <v>76.5</v>
      </c>
    </row>
    <row r="81" spans="1:20" x14ac:dyDescent="0.2">
      <c r="A81" s="5">
        <v>45870</v>
      </c>
      <c r="B81" t="s">
        <v>133</v>
      </c>
      <c r="C81" s="6">
        <v>1.3513513513513514E-2</v>
      </c>
      <c r="D81" s="6">
        <v>2.7027027027027029E-2</v>
      </c>
      <c r="E81" s="6">
        <v>5.128205128205128E-2</v>
      </c>
      <c r="F81" s="6">
        <v>0.76416309660300663</v>
      </c>
      <c r="G81">
        <v>62</v>
      </c>
      <c r="H81" s="6">
        <v>0.80313156251035234</v>
      </c>
      <c r="I81" s="4">
        <v>1105118</v>
      </c>
      <c r="J81" s="4">
        <v>347793</v>
      </c>
      <c r="K81" s="4">
        <v>4699.905405405405</v>
      </c>
      <c r="L81">
        <v>0.13256864877777758</v>
      </c>
      <c r="M81">
        <v>69</v>
      </c>
      <c r="N81" s="6">
        <v>0.81640393159816782</v>
      </c>
      <c r="O81">
        <v>69</v>
      </c>
      <c r="P81">
        <v>11.75</v>
      </c>
      <c r="Q81" s="6">
        <v>0.73259357325152008</v>
      </c>
      <c r="R81">
        <v>147</v>
      </c>
      <c r="S81">
        <v>61</v>
      </c>
      <c r="T81">
        <v>78.3</v>
      </c>
    </row>
    <row r="82" spans="1:20" x14ac:dyDescent="0.2">
      <c r="A82" s="5">
        <v>45901</v>
      </c>
      <c r="B82" t="s">
        <v>133</v>
      </c>
      <c r="C82" s="6">
        <v>1.282051282051282E-2</v>
      </c>
      <c r="D82" s="6">
        <v>3.2634032634032632E-2</v>
      </c>
      <c r="E82" s="6">
        <v>1.2658227848101266E-2</v>
      </c>
      <c r="F82" s="6">
        <v>0.73259968617509508</v>
      </c>
      <c r="G82">
        <v>62</v>
      </c>
      <c r="H82" s="6">
        <v>0.53564945872118941</v>
      </c>
      <c r="I82" s="4">
        <v>1164854</v>
      </c>
      <c r="J82" s="4">
        <v>374417</v>
      </c>
      <c r="K82" s="4">
        <v>4800.2179487179483</v>
      </c>
      <c r="L82">
        <v>0.14315871345250133</v>
      </c>
      <c r="M82">
        <v>62</v>
      </c>
      <c r="N82" s="6">
        <v>0.69630098046698008</v>
      </c>
      <c r="O82">
        <v>68</v>
      </c>
      <c r="P82">
        <v>13.02</v>
      </c>
      <c r="Q82" s="6">
        <v>0.7922086107718499</v>
      </c>
      <c r="R82">
        <v>60</v>
      </c>
      <c r="S82">
        <v>53</v>
      </c>
      <c r="T82">
        <v>74.5</v>
      </c>
    </row>
    <row r="83" spans="1:20" x14ac:dyDescent="0.2">
      <c r="A83" s="5">
        <v>45931</v>
      </c>
      <c r="B83" t="s">
        <v>133</v>
      </c>
      <c r="C83" s="6">
        <v>1.282051282051282E-2</v>
      </c>
      <c r="D83" s="6">
        <v>1.5734265734265736E-2</v>
      </c>
      <c r="E83" s="6">
        <v>6.0240963855421686E-2</v>
      </c>
      <c r="F83" s="6">
        <v>0.59097208897080011</v>
      </c>
      <c r="G83">
        <v>52</v>
      </c>
      <c r="H83" s="6">
        <v>0.67391104612905983</v>
      </c>
      <c r="I83" s="4">
        <v>1164854</v>
      </c>
      <c r="J83" s="4">
        <v>368965</v>
      </c>
      <c r="K83" s="4">
        <v>4730.3205128205127</v>
      </c>
      <c r="L83">
        <v>0.17204301998362026</v>
      </c>
      <c r="M83">
        <v>51</v>
      </c>
      <c r="N83" s="6">
        <v>0.67065408597182363</v>
      </c>
      <c r="O83">
        <v>65</v>
      </c>
      <c r="P83">
        <v>14.26</v>
      </c>
      <c r="Q83" s="6">
        <v>0.78856393161381511</v>
      </c>
      <c r="R83">
        <v>95</v>
      </c>
      <c r="S83">
        <v>56</v>
      </c>
      <c r="T83">
        <v>74.3</v>
      </c>
    </row>
    <row r="84" spans="1:20" x14ac:dyDescent="0.2">
      <c r="A84" s="5">
        <v>45962</v>
      </c>
      <c r="B84" t="s">
        <v>133</v>
      </c>
      <c r="C84" s="6">
        <v>1.282051282051282E-2</v>
      </c>
      <c r="D84" s="6">
        <v>2.4475524475524476E-2</v>
      </c>
      <c r="E84" s="6">
        <v>4.878048780487805E-2</v>
      </c>
      <c r="F84" s="6">
        <v>0.80651783101652685</v>
      </c>
      <c r="G84">
        <v>70</v>
      </c>
      <c r="H84" s="6">
        <v>0.69776872742671225</v>
      </c>
      <c r="I84" s="4">
        <v>1164854</v>
      </c>
      <c r="J84" s="4">
        <v>416319</v>
      </c>
      <c r="K84" s="4">
        <v>5337.4230769230771</v>
      </c>
      <c r="L84">
        <v>0.18190262470661558</v>
      </c>
      <c r="M84">
        <v>78</v>
      </c>
      <c r="N84" s="6">
        <v>0.78464784241963292</v>
      </c>
      <c r="O84">
        <v>66</v>
      </c>
      <c r="P84">
        <v>13.23</v>
      </c>
      <c r="Q84" s="6">
        <v>0.82875943451117828</v>
      </c>
      <c r="R84">
        <v>153</v>
      </c>
      <c r="S84">
        <v>54</v>
      </c>
      <c r="T84">
        <v>80.900000000000006</v>
      </c>
    </row>
    <row r="85" spans="1:20" x14ac:dyDescent="0.2">
      <c r="A85" s="5">
        <v>45992</v>
      </c>
      <c r="B85" t="s">
        <v>133</v>
      </c>
      <c r="C85" s="6">
        <v>1.2500000000000001E-2</v>
      </c>
      <c r="D85" s="6">
        <v>3.2954545454545452E-2</v>
      </c>
      <c r="E85" s="6">
        <v>3.614457831325301E-2</v>
      </c>
      <c r="F85" s="6">
        <v>0.92006030866179589</v>
      </c>
      <c r="G85">
        <v>75</v>
      </c>
      <c r="H85" s="6">
        <v>0.72316332772042036</v>
      </c>
      <c r="I85" s="4">
        <v>1194722</v>
      </c>
      <c r="J85" s="4">
        <v>438301</v>
      </c>
      <c r="K85" s="4">
        <v>5478.7624999999998</v>
      </c>
      <c r="L85">
        <v>0.18306852975001717</v>
      </c>
      <c r="M85">
        <v>76</v>
      </c>
      <c r="N85" s="6">
        <v>0.77364269470889158</v>
      </c>
      <c r="O85">
        <v>75</v>
      </c>
      <c r="P85">
        <v>11.49</v>
      </c>
      <c r="Q85" s="6">
        <v>0.82701439854133973</v>
      </c>
      <c r="R85">
        <v>69</v>
      </c>
      <c r="S85">
        <v>54</v>
      </c>
      <c r="T85">
        <v>82.8</v>
      </c>
    </row>
    <row r="86" spans="1:20" x14ac:dyDescent="0.2">
      <c r="A86" s="5">
        <v>45658</v>
      </c>
      <c r="B86" t="s">
        <v>61</v>
      </c>
      <c r="C86" s="6">
        <v>1.1904761904761904E-2</v>
      </c>
      <c r="D86" s="6">
        <v>3.0303030303030304E-2</v>
      </c>
      <c r="E86" s="6">
        <v>6.6666666666666666E-2</v>
      </c>
      <c r="F86" s="6">
        <v>0.82727999297854826</v>
      </c>
      <c r="G86">
        <v>59</v>
      </c>
      <c r="H86" s="6">
        <v>0.63879819538113658</v>
      </c>
      <c r="I86" s="4">
        <v>1316235</v>
      </c>
      <c r="J86" s="4">
        <v>439658</v>
      </c>
      <c r="K86" s="4">
        <v>5234.0238095238092</v>
      </c>
      <c r="L86">
        <v>0.14333534665162376</v>
      </c>
      <c r="M86">
        <v>53</v>
      </c>
      <c r="N86" s="6">
        <v>0.6410070270381063</v>
      </c>
      <c r="O86">
        <v>68</v>
      </c>
      <c r="P86">
        <v>12.62</v>
      </c>
      <c r="Q86" s="6">
        <v>0.79668815765124301</v>
      </c>
      <c r="R86">
        <v>178</v>
      </c>
      <c r="S86">
        <v>59</v>
      </c>
      <c r="T86">
        <v>77.099999999999994</v>
      </c>
    </row>
    <row r="87" spans="1:20" x14ac:dyDescent="0.2">
      <c r="A87" s="5">
        <v>45689</v>
      </c>
      <c r="B87" t="s">
        <v>61</v>
      </c>
      <c r="C87" s="6">
        <v>1.1627906976744186E-2</v>
      </c>
      <c r="D87" s="6">
        <v>1.849894291754757E-2</v>
      </c>
      <c r="E87" s="6">
        <v>1.1494252873563218E-2</v>
      </c>
      <c r="F87" s="6">
        <v>0.73376925134439608</v>
      </c>
      <c r="G87">
        <v>67</v>
      </c>
      <c r="H87" s="6">
        <v>0.70223068027164981</v>
      </c>
      <c r="I87" s="4">
        <v>1347574</v>
      </c>
      <c r="J87" s="4">
        <v>502457</v>
      </c>
      <c r="K87" s="4">
        <v>5842.5232558139533</v>
      </c>
      <c r="L87">
        <v>0.18164568327973082</v>
      </c>
      <c r="M87">
        <v>66</v>
      </c>
      <c r="N87" s="6">
        <v>0.80083454546802868</v>
      </c>
      <c r="O87">
        <v>74</v>
      </c>
      <c r="P87">
        <v>11.38</v>
      </c>
      <c r="Q87" s="6">
        <v>0.79758858615831285</v>
      </c>
      <c r="R87">
        <v>55</v>
      </c>
      <c r="S87">
        <v>50</v>
      </c>
      <c r="T87">
        <v>79.7</v>
      </c>
    </row>
    <row r="88" spans="1:20" x14ac:dyDescent="0.2">
      <c r="A88" s="5">
        <v>45717</v>
      </c>
      <c r="B88" t="s">
        <v>61</v>
      </c>
      <c r="C88" s="6">
        <v>2.3529411764705882E-2</v>
      </c>
      <c r="D88" s="6">
        <v>2.1390374331550801E-2</v>
      </c>
      <c r="E88" s="6">
        <v>7.6086956521739135E-2</v>
      </c>
      <c r="F88" s="6">
        <v>0.83663358312897429</v>
      </c>
      <c r="G88">
        <v>76</v>
      </c>
      <c r="H88" s="6">
        <v>0.54254786336164651</v>
      </c>
      <c r="I88" s="4">
        <v>1331904</v>
      </c>
      <c r="J88" s="4">
        <v>479766</v>
      </c>
      <c r="K88" s="4">
        <v>5644.3058823529409</v>
      </c>
      <c r="L88">
        <v>0.21370083729758302</v>
      </c>
      <c r="M88">
        <v>76</v>
      </c>
      <c r="N88" s="6">
        <v>0.78047906870796757</v>
      </c>
      <c r="O88">
        <v>72</v>
      </c>
      <c r="P88">
        <v>12.89</v>
      </c>
      <c r="Q88" s="6">
        <v>0.77092018042186483</v>
      </c>
      <c r="R88">
        <v>94</v>
      </c>
      <c r="S88">
        <v>62</v>
      </c>
      <c r="T88">
        <v>79.7</v>
      </c>
    </row>
    <row r="89" spans="1:20" x14ac:dyDescent="0.2">
      <c r="A89" s="5">
        <v>45748</v>
      </c>
      <c r="B89" t="s">
        <v>61</v>
      </c>
      <c r="C89" s="6">
        <v>1.1904761904761904E-2</v>
      </c>
      <c r="D89" s="6">
        <v>2.002164502164502E-2</v>
      </c>
      <c r="E89" s="6">
        <v>6.6666666666666666E-2</v>
      </c>
      <c r="F89" s="6">
        <v>0.81142932879962859</v>
      </c>
      <c r="G89">
        <v>65</v>
      </c>
      <c r="H89" s="6">
        <v>0.71263764262446649</v>
      </c>
      <c r="I89" s="4">
        <v>1316235</v>
      </c>
      <c r="J89" s="4">
        <v>456543</v>
      </c>
      <c r="K89" s="4">
        <v>5435.0357142857147</v>
      </c>
      <c r="L89">
        <v>0.18810622723145942</v>
      </c>
      <c r="M89">
        <v>74</v>
      </c>
      <c r="N89" s="6">
        <v>0.86492651327241776</v>
      </c>
      <c r="O89">
        <v>71</v>
      </c>
      <c r="P89">
        <v>12.8</v>
      </c>
      <c r="Q89" s="6">
        <v>0.80555965264598006</v>
      </c>
      <c r="R89">
        <v>188</v>
      </c>
      <c r="S89">
        <v>56</v>
      </c>
      <c r="T89">
        <v>80.5</v>
      </c>
    </row>
    <row r="90" spans="1:20" x14ac:dyDescent="0.2">
      <c r="A90" s="5">
        <v>45778</v>
      </c>
      <c r="B90" t="s">
        <v>61</v>
      </c>
      <c r="C90" s="6">
        <v>2.4390243902439025E-2</v>
      </c>
      <c r="D90" s="6">
        <v>2.8824833702882482E-2</v>
      </c>
      <c r="E90" s="6">
        <v>5.7471264367816091E-2</v>
      </c>
      <c r="F90" s="6">
        <v>0.76087325478703283</v>
      </c>
      <c r="G90">
        <v>69</v>
      </c>
      <c r="H90" s="6">
        <v>0.47186705710108306</v>
      </c>
      <c r="I90" s="4">
        <v>1284896</v>
      </c>
      <c r="J90" s="4">
        <v>417909</v>
      </c>
      <c r="K90" s="4">
        <v>5096.4512195121952</v>
      </c>
      <c r="L90">
        <v>0.14561878938061912</v>
      </c>
      <c r="M90">
        <v>65</v>
      </c>
      <c r="N90" s="6">
        <v>0.72457781058175952</v>
      </c>
      <c r="O90">
        <v>67</v>
      </c>
      <c r="P90">
        <v>14.34</v>
      </c>
      <c r="Q90" s="6">
        <v>0.75009155625616963</v>
      </c>
      <c r="R90">
        <v>182</v>
      </c>
      <c r="S90">
        <v>62</v>
      </c>
      <c r="T90">
        <v>74.900000000000006</v>
      </c>
    </row>
    <row r="91" spans="1:20" x14ac:dyDescent="0.2">
      <c r="A91" s="5">
        <v>45809</v>
      </c>
      <c r="B91" t="s">
        <v>61</v>
      </c>
      <c r="C91" s="6">
        <v>1.2195121951219513E-2</v>
      </c>
      <c r="D91" s="6">
        <v>3.325942350332594E-2</v>
      </c>
      <c r="E91" s="6">
        <v>7.8651685393258425E-2</v>
      </c>
      <c r="F91" s="6">
        <v>0.86374928398276196</v>
      </c>
      <c r="G91">
        <v>65</v>
      </c>
      <c r="H91" s="6">
        <v>0.83287789298912385</v>
      </c>
      <c r="I91" s="4">
        <v>1284896</v>
      </c>
      <c r="J91" s="4">
        <v>436584</v>
      </c>
      <c r="K91" s="4">
        <v>5324.1951219512193</v>
      </c>
      <c r="L91">
        <v>0.14730608547306553</v>
      </c>
      <c r="M91">
        <v>67</v>
      </c>
      <c r="N91" s="6">
        <v>0.6172785543254421</v>
      </c>
      <c r="O91">
        <v>70</v>
      </c>
      <c r="P91">
        <v>13.08</v>
      </c>
      <c r="Q91" s="6">
        <v>0.77035521022985687</v>
      </c>
      <c r="R91">
        <v>101</v>
      </c>
      <c r="S91">
        <v>63</v>
      </c>
      <c r="T91">
        <v>80.5</v>
      </c>
    </row>
    <row r="92" spans="1:20" x14ac:dyDescent="0.2">
      <c r="A92" s="5">
        <v>45839</v>
      </c>
      <c r="B92" t="s">
        <v>61</v>
      </c>
      <c r="C92" s="6">
        <v>1.2048192771084338E-2</v>
      </c>
      <c r="D92" s="6">
        <v>1.642935377875137E-2</v>
      </c>
      <c r="E92" s="6">
        <v>4.5977011494252873E-2</v>
      </c>
      <c r="F92" s="6">
        <v>0.72745267449606166</v>
      </c>
      <c r="G92">
        <v>70</v>
      </c>
      <c r="H92" s="6">
        <v>0.70487508702333468</v>
      </c>
      <c r="I92" s="4">
        <v>1300565</v>
      </c>
      <c r="J92" s="4">
        <v>410313</v>
      </c>
      <c r="K92" s="4">
        <v>4943.530120481928</v>
      </c>
      <c r="L92">
        <v>0.18919469615128809</v>
      </c>
      <c r="M92">
        <v>70</v>
      </c>
      <c r="N92" s="6">
        <v>0.85074293108530652</v>
      </c>
      <c r="O92">
        <v>69</v>
      </c>
      <c r="P92">
        <v>10.81</v>
      </c>
      <c r="Q92" s="6">
        <v>0.7991720021100549</v>
      </c>
      <c r="R92">
        <v>109</v>
      </c>
      <c r="S92">
        <v>54</v>
      </c>
      <c r="T92">
        <v>80.5</v>
      </c>
    </row>
    <row r="93" spans="1:20" x14ac:dyDescent="0.2">
      <c r="A93" s="5">
        <v>45870</v>
      </c>
      <c r="B93" t="s">
        <v>61</v>
      </c>
      <c r="C93" s="6">
        <v>1.2195121951219513E-2</v>
      </c>
      <c r="D93" s="6">
        <v>2.1064301552106431E-2</v>
      </c>
      <c r="E93" s="6">
        <v>1.2048192771084338E-2</v>
      </c>
      <c r="F93" s="6">
        <v>0.8738635963186776</v>
      </c>
      <c r="G93">
        <v>61</v>
      </c>
      <c r="H93" s="6">
        <v>0.70773800043644663</v>
      </c>
      <c r="I93" s="4">
        <v>1284896</v>
      </c>
      <c r="J93" s="4">
        <v>443369</v>
      </c>
      <c r="K93" s="4">
        <v>5406.9390243902435</v>
      </c>
      <c r="L93">
        <v>0.16329881951535377</v>
      </c>
      <c r="M93">
        <v>65</v>
      </c>
      <c r="N93" s="6">
        <v>0.71874149538545284</v>
      </c>
      <c r="O93">
        <v>73</v>
      </c>
      <c r="P93">
        <v>11.49</v>
      </c>
      <c r="Q93" s="6">
        <v>0.85098655201445339</v>
      </c>
      <c r="R93">
        <v>74</v>
      </c>
      <c r="S93">
        <v>47</v>
      </c>
      <c r="T93">
        <v>81</v>
      </c>
    </row>
    <row r="94" spans="1:20" x14ac:dyDescent="0.2">
      <c r="A94" s="5">
        <v>45901</v>
      </c>
      <c r="B94" t="s">
        <v>61</v>
      </c>
      <c r="C94" s="6">
        <v>1.2195121951219513E-2</v>
      </c>
      <c r="D94" s="6">
        <v>2.771618625277162E-2</v>
      </c>
      <c r="E94" s="6">
        <v>4.6511627906976744E-2</v>
      </c>
      <c r="F94" s="6">
        <v>0.75095267524281717</v>
      </c>
      <c r="G94">
        <v>66</v>
      </c>
      <c r="H94" s="6">
        <v>0.81993455401021009</v>
      </c>
      <c r="I94" s="4">
        <v>1284896</v>
      </c>
      <c r="J94" s="4">
        <v>394397</v>
      </c>
      <c r="K94" s="4">
        <v>4809.7195121951218</v>
      </c>
      <c r="L94">
        <v>0.1749129890668194</v>
      </c>
      <c r="M94">
        <v>58</v>
      </c>
      <c r="N94" s="6">
        <v>0.81748758051791948</v>
      </c>
      <c r="O94">
        <v>66</v>
      </c>
      <c r="P94">
        <v>12.08</v>
      </c>
      <c r="Q94" s="6">
        <v>0.74926927930830911</v>
      </c>
      <c r="R94">
        <v>178</v>
      </c>
      <c r="S94">
        <v>60</v>
      </c>
      <c r="T94">
        <v>79.2</v>
      </c>
    </row>
    <row r="95" spans="1:20" x14ac:dyDescent="0.2">
      <c r="A95" s="5">
        <v>45931</v>
      </c>
      <c r="B95" t="s">
        <v>61</v>
      </c>
      <c r="C95" s="6">
        <v>2.4390243902439025E-2</v>
      </c>
      <c r="D95" s="6">
        <v>3.2150776053215077E-2</v>
      </c>
      <c r="E95" s="6">
        <v>1.2048192771084338E-2</v>
      </c>
      <c r="F95" s="6">
        <v>0.75874958265670212</v>
      </c>
      <c r="G95">
        <v>67</v>
      </c>
      <c r="H95" s="6">
        <v>0.438731913632668</v>
      </c>
      <c r="I95" s="4">
        <v>1284896</v>
      </c>
      <c r="J95" s="4">
        <v>409667</v>
      </c>
      <c r="K95" s="4">
        <v>4995.9390243902435</v>
      </c>
      <c r="L95">
        <v>0.15054058849899135</v>
      </c>
      <c r="M95">
        <v>68</v>
      </c>
      <c r="N95" s="6">
        <v>0.79019858638333329</v>
      </c>
      <c r="O95">
        <v>72</v>
      </c>
      <c r="P95">
        <v>13.2</v>
      </c>
      <c r="Q95" s="6">
        <v>0.78305615804161366</v>
      </c>
      <c r="R95">
        <v>170</v>
      </c>
      <c r="S95">
        <v>55</v>
      </c>
      <c r="T95">
        <v>74</v>
      </c>
    </row>
    <row r="96" spans="1:20" x14ac:dyDescent="0.2">
      <c r="A96" s="5">
        <v>45962</v>
      </c>
      <c r="B96" t="s">
        <v>61</v>
      </c>
      <c r="C96" s="6">
        <v>2.4390243902439025E-2</v>
      </c>
      <c r="D96" s="6">
        <v>2.9379157427937917E-2</v>
      </c>
      <c r="E96" s="6">
        <v>0</v>
      </c>
      <c r="F96" s="6">
        <v>0.96831766550650689</v>
      </c>
      <c r="G96">
        <v>71</v>
      </c>
      <c r="H96" s="6">
        <v>0.89833254529115525</v>
      </c>
      <c r="I96" s="4">
        <v>1284896</v>
      </c>
      <c r="J96" s="4">
        <v>451410</v>
      </c>
      <c r="K96" s="4">
        <v>5505</v>
      </c>
      <c r="L96">
        <v>0.17800039847582996</v>
      </c>
      <c r="M96">
        <v>75</v>
      </c>
      <c r="N96" s="6">
        <v>0.91555478048284422</v>
      </c>
      <c r="O96">
        <v>80</v>
      </c>
      <c r="P96">
        <v>11.99</v>
      </c>
      <c r="Q96" s="6">
        <v>0.82444667610273148</v>
      </c>
      <c r="R96">
        <v>85</v>
      </c>
      <c r="S96">
        <v>50</v>
      </c>
      <c r="T96">
        <v>84.5</v>
      </c>
    </row>
    <row r="97" spans="1:20" x14ac:dyDescent="0.2">
      <c r="A97" s="5">
        <v>45992</v>
      </c>
      <c r="B97" t="s">
        <v>61</v>
      </c>
      <c r="C97" s="6">
        <v>1.2195121951219513E-2</v>
      </c>
      <c r="D97" s="6">
        <v>1.7184035476718405E-2</v>
      </c>
      <c r="E97" s="6">
        <v>3.5294117647058823E-2</v>
      </c>
      <c r="F97" s="6">
        <v>0.90614034010452016</v>
      </c>
      <c r="G97">
        <v>59</v>
      </c>
      <c r="H97" s="6">
        <v>0.51276766039072208</v>
      </c>
      <c r="I97" s="4">
        <v>1284896</v>
      </c>
      <c r="J97" s="4">
        <v>456767</v>
      </c>
      <c r="K97" s="4">
        <v>5570.3292682926831</v>
      </c>
      <c r="L97">
        <v>0.19935309939481483</v>
      </c>
      <c r="M97">
        <v>61</v>
      </c>
      <c r="N97" s="6">
        <v>0.68470875022293187</v>
      </c>
      <c r="O97">
        <v>73</v>
      </c>
      <c r="P97">
        <v>10.76</v>
      </c>
      <c r="Q97" s="6">
        <v>0.81093875182097164</v>
      </c>
      <c r="R97">
        <v>104</v>
      </c>
      <c r="S97">
        <v>52</v>
      </c>
      <c r="T97">
        <v>78.900000000000006</v>
      </c>
    </row>
    <row r="98" spans="1:20" x14ac:dyDescent="0.2">
      <c r="A98" s="5">
        <v>45658</v>
      </c>
      <c r="B98" t="s">
        <v>96</v>
      </c>
      <c r="C98" s="6">
        <v>1.6949152542372881E-2</v>
      </c>
      <c r="D98" s="6">
        <v>2.5808936825885979E-2</v>
      </c>
      <c r="E98" s="6">
        <v>4.8387096774193547E-2</v>
      </c>
      <c r="F98" s="6">
        <v>0.83126875134784795</v>
      </c>
      <c r="G98">
        <v>60</v>
      </c>
      <c r="H98" s="6">
        <v>0.48910678543294128</v>
      </c>
      <c r="I98" s="4">
        <v>1761821</v>
      </c>
      <c r="J98" s="4">
        <v>946919</v>
      </c>
      <c r="K98" s="4">
        <v>8024.7372881355932</v>
      </c>
      <c r="L98">
        <v>0.27550244888669168</v>
      </c>
      <c r="M98">
        <v>62</v>
      </c>
      <c r="N98" s="6">
        <v>0.72986107857980931</v>
      </c>
      <c r="O98">
        <v>76</v>
      </c>
      <c r="P98">
        <v>10.82</v>
      </c>
      <c r="Q98" s="6">
        <v>0.77661175943381755</v>
      </c>
      <c r="R98">
        <v>247</v>
      </c>
      <c r="S98">
        <v>58</v>
      </c>
      <c r="T98">
        <v>75.7</v>
      </c>
    </row>
    <row r="99" spans="1:20" x14ac:dyDescent="0.2">
      <c r="A99" s="5">
        <v>45689</v>
      </c>
      <c r="B99" t="s">
        <v>96</v>
      </c>
      <c r="C99" s="6">
        <v>1.6666666666666666E-2</v>
      </c>
      <c r="D99" s="6">
        <v>2.8787878787878789E-2</v>
      </c>
      <c r="E99" s="6">
        <v>2.4390243902439025E-2</v>
      </c>
      <c r="F99" s="6">
        <v>0.88261712969946504</v>
      </c>
      <c r="G99">
        <v>75</v>
      </c>
      <c r="H99" s="6">
        <v>0.745884357513806</v>
      </c>
      <c r="I99" s="4">
        <v>1791682</v>
      </c>
      <c r="J99" s="4">
        <v>1064551</v>
      </c>
      <c r="K99" s="4">
        <v>8871.2583333333332</v>
      </c>
      <c r="L99">
        <v>0.29025407410466814</v>
      </c>
      <c r="M99">
        <v>77</v>
      </c>
      <c r="N99" s="6">
        <v>0.8577141308448496</v>
      </c>
      <c r="O99">
        <v>84</v>
      </c>
      <c r="P99">
        <v>10.68</v>
      </c>
      <c r="Q99" s="6">
        <v>0.86217463359672053</v>
      </c>
      <c r="R99">
        <v>250</v>
      </c>
      <c r="S99">
        <v>49</v>
      </c>
      <c r="T99">
        <v>83.2</v>
      </c>
    </row>
    <row r="100" spans="1:20" x14ac:dyDescent="0.2">
      <c r="A100" s="5">
        <v>45717</v>
      </c>
      <c r="B100" t="s">
        <v>96</v>
      </c>
      <c r="C100" s="6">
        <v>1.6666666666666666E-2</v>
      </c>
      <c r="D100" s="6">
        <v>2.3484848484848483E-2</v>
      </c>
      <c r="E100" s="6">
        <v>4.7619047619047616E-2</v>
      </c>
      <c r="F100" s="6">
        <v>0.81040512855033775</v>
      </c>
      <c r="G100">
        <v>76</v>
      </c>
      <c r="H100" s="6">
        <v>0.6285392638893087</v>
      </c>
      <c r="I100" s="4">
        <v>1791682</v>
      </c>
      <c r="J100" s="4">
        <v>1034862</v>
      </c>
      <c r="K100" s="4">
        <v>8623.85</v>
      </c>
      <c r="L100">
        <v>0.3218193853596788</v>
      </c>
      <c r="M100">
        <v>79</v>
      </c>
      <c r="N100" s="6">
        <v>0.8445292020298264</v>
      </c>
      <c r="O100">
        <v>80</v>
      </c>
      <c r="P100">
        <v>10.24</v>
      </c>
      <c r="Q100" s="6">
        <v>0.86575090533840382</v>
      </c>
      <c r="R100">
        <v>206</v>
      </c>
      <c r="S100">
        <v>51</v>
      </c>
      <c r="T100">
        <v>81.599999999999994</v>
      </c>
    </row>
    <row r="101" spans="1:20" x14ac:dyDescent="0.2">
      <c r="A101" s="5">
        <v>45748</v>
      </c>
      <c r="B101" t="s">
        <v>96</v>
      </c>
      <c r="C101" s="6">
        <v>1.680672268907563E-2</v>
      </c>
      <c r="D101" s="6">
        <v>2.4064171122994651E-2</v>
      </c>
      <c r="E101" s="6">
        <v>1.6528925619834711E-2</v>
      </c>
      <c r="F101" s="6">
        <v>0.794776761046181</v>
      </c>
      <c r="G101">
        <v>68</v>
      </c>
      <c r="H101" s="6">
        <v>0.46775306223344221</v>
      </c>
      <c r="I101" s="4">
        <v>1776752</v>
      </c>
      <c r="J101" s="4">
        <v>1093181</v>
      </c>
      <c r="K101" s="4">
        <v>9186.3949579831933</v>
      </c>
      <c r="L101">
        <v>0.37869213035921728</v>
      </c>
      <c r="M101">
        <v>66</v>
      </c>
      <c r="N101" s="6">
        <v>0.75688387491906051</v>
      </c>
      <c r="O101">
        <v>82</v>
      </c>
      <c r="P101">
        <v>10.6</v>
      </c>
      <c r="Q101" s="6">
        <v>0.8101486598399017</v>
      </c>
      <c r="R101">
        <v>152</v>
      </c>
      <c r="S101">
        <v>52</v>
      </c>
      <c r="T101">
        <v>77.099999999999994</v>
      </c>
    </row>
    <row r="102" spans="1:20" x14ac:dyDescent="0.2">
      <c r="A102" s="5">
        <v>45778</v>
      </c>
      <c r="B102" t="s">
        <v>96</v>
      </c>
      <c r="C102" s="6">
        <v>8.4745762711864406E-3</v>
      </c>
      <c r="D102" s="6">
        <v>2.0801232665639446E-2</v>
      </c>
      <c r="E102" s="6">
        <v>4.8387096774193547E-2</v>
      </c>
      <c r="F102" s="6">
        <v>0.7751649169101984</v>
      </c>
      <c r="G102">
        <v>66</v>
      </c>
      <c r="H102" s="6">
        <v>0.75540973909299347</v>
      </c>
      <c r="I102" s="4">
        <v>1761821</v>
      </c>
      <c r="J102" s="4">
        <v>993652</v>
      </c>
      <c r="K102" s="4">
        <v>8420.7796610169498</v>
      </c>
      <c r="L102">
        <v>0.33703253622246526</v>
      </c>
      <c r="M102">
        <v>65</v>
      </c>
      <c r="N102" s="6">
        <v>0.66630621916114263</v>
      </c>
      <c r="O102">
        <v>76</v>
      </c>
      <c r="P102">
        <v>11.61</v>
      </c>
      <c r="Q102" s="6">
        <v>0.79252532022660349</v>
      </c>
      <c r="R102">
        <v>143</v>
      </c>
      <c r="S102">
        <v>55</v>
      </c>
      <c r="T102">
        <v>80.599999999999994</v>
      </c>
    </row>
    <row r="103" spans="1:20" x14ac:dyDescent="0.2">
      <c r="A103" s="5">
        <v>45809</v>
      </c>
      <c r="B103" t="s">
        <v>96</v>
      </c>
      <c r="C103" s="6">
        <v>8.4745762711864406E-3</v>
      </c>
      <c r="D103" s="6">
        <v>1.4637904468412942E-2</v>
      </c>
      <c r="E103" s="6">
        <v>2.4793388429752067E-2</v>
      </c>
      <c r="F103" s="6">
        <v>0.89468229437849578</v>
      </c>
      <c r="G103">
        <v>68</v>
      </c>
      <c r="H103" s="6">
        <v>0.50908750050278151</v>
      </c>
      <c r="I103" s="4">
        <v>1761821</v>
      </c>
      <c r="J103" s="4">
        <v>1051542</v>
      </c>
      <c r="K103" s="4">
        <v>8911.3728813559319</v>
      </c>
      <c r="L103">
        <v>0.32304473609975132</v>
      </c>
      <c r="M103">
        <v>66</v>
      </c>
      <c r="N103" s="6">
        <v>0.78664875709430759</v>
      </c>
      <c r="O103">
        <v>83</v>
      </c>
      <c r="P103">
        <v>10.77</v>
      </c>
      <c r="Q103" s="6">
        <v>0.8490112100468229</v>
      </c>
      <c r="R103">
        <v>248</v>
      </c>
      <c r="S103">
        <v>47</v>
      </c>
      <c r="T103">
        <v>81.5</v>
      </c>
    </row>
    <row r="104" spans="1:20" x14ac:dyDescent="0.2">
      <c r="A104" s="5">
        <v>45839</v>
      </c>
      <c r="B104" t="s">
        <v>96</v>
      </c>
      <c r="C104" s="6">
        <v>1.7094017094017096E-2</v>
      </c>
      <c r="D104" s="6">
        <v>3.2245532245532248E-2</v>
      </c>
      <c r="E104" s="6">
        <v>4.0983606557377046E-2</v>
      </c>
      <c r="F104" s="6">
        <v>0.78419575267950936</v>
      </c>
      <c r="G104">
        <v>67</v>
      </c>
      <c r="H104" s="6">
        <v>0.69184957580225692</v>
      </c>
      <c r="I104" s="4">
        <v>1746890</v>
      </c>
      <c r="J104" s="4">
        <v>965003</v>
      </c>
      <c r="K104" s="4">
        <v>8247.8888888888887</v>
      </c>
      <c r="L104">
        <v>0.30535981086387809</v>
      </c>
      <c r="M104">
        <v>68</v>
      </c>
      <c r="N104" s="6">
        <v>0.73771655900515043</v>
      </c>
      <c r="O104">
        <v>79</v>
      </c>
      <c r="P104">
        <v>10.76</v>
      </c>
      <c r="Q104" s="6">
        <v>0.81394724498464266</v>
      </c>
      <c r="R104">
        <v>106</v>
      </c>
      <c r="S104">
        <v>56</v>
      </c>
      <c r="T104">
        <v>78.2</v>
      </c>
    </row>
    <row r="105" spans="1:20" x14ac:dyDescent="0.2">
      <c r="A105" s="5">
        <v>45870</v>
      </c>
      <c r="B105" t="s">
        <v>96</v>
      </c>
      <c r="C105" s="6">
        <v>1.7241379310344827E-2</v>
      </c>
      <c r="D105" s="6">
        <v>2.0768025078369907E-2</v>
      </c>
      <c r="E105" s="6">
        <v>8.6614173228346455E-2</v>
      </c>
      <c r="F105" s="6">
        <v>0.75835003908848841</v>
      </c>
      <c r="G105">
        <v>65</v>
      </c>
      <c r="H105" s="6">
        <v>0.73474358100357229</v>
      </c>
      <c r="I105" s="4">
        <v>1731960</v>
      </c>
      <c r="J105" s="4">
        <v>864199</v>
      </c>
      <c r="K105" s="4">
        <v>7449.9913793103451</v>
      </c>
      <c r="L105">
        <v>0.21919443867063904</v>
      </c>
      <c r="M105">
        <v>64</v>
      </c>
      <c r="N105" s="6">
        <v>0.78851219994460975</v>
      </c>
      <c r="O105">
        <v>72</v>
      </c>
      <c r="P105">
        <v>12.51</v>
      </c>
      <c r="Q105" s="6">
        <v>0.77486614971296375</v>
      </c>
      <c r="R105">
        <v>154</v>
      </c>
      <c r="S105">
        <v>62</v>
      </c>
      <c r="T105">
        <v>79.099999999999994</v>
      </c>
    </row>
    <row r="106" spans="1:20" x14ac:dyDescent="0.2">
      <c r="A106" s="5">
        <v>45901</v>
      </c>
      <c r="B106" t="s">
        <v>96</v>
      </c>
      <c r="C106" s="6">
        <v>1.6949152542372881E-2</v>
      </c>
      <c r="D106" s="6">
        <v>3.3513097072419104E-2</v>
      </c>
      <c r="E106" s="6">
        <v>6.3492063492063489E-2</v>
      </c>
      <c r="F106" s="6">
        <v>0.99</v>
      </c>
      <c r="G106">
        <v>59</v>
      </c>
      <c r="H106" s="6">
        <v>0.46171014641457203</v>
      </c>
      <c r="I106" s="4">
        <v>1761821</v>
      </c>
      <c r="J106" s="4">
        <v>913061</v>
      </c>
      <c r="K106" s="4">
        <v>7737.8050847457625</v>
      </c>
      <c r="L106">
        <v>0.31158046135220319</v>
      </c>
      <c r="M106">
        <v>65</v>
      </c>
      <c r="N106" s="6">
        <v>0.7812539962854691</v>
      </c>
      <c r="O106">
        <v>76</v>
      </c>
      <c r="P106">
        <v>12.11</v>
      </c>
      <c r="Q106" s="6">
        <v>0.78660800235727713</v>
      </c>
      <c r="R106">
        <v>280</v>
      </c>
      <c r="S106">
        <v>60</v>
      </c>
      <c r="T106">
        <v>76.7</v>
      </c>
    </row>
    <row r="107" spans="1:20" x14ac:dyDescent="0.2">
      <c r="A107" s="5">
        <v>45931</v>
      </c>
      <c r="B107" t="s">
        <v>96</v>
      </c>
      <c r="C107" s="6">
        <v>8.4745762711864406E-3</v>
      </c>
      <c r="D107" s="6">
        <v>1.386748844375963E-2</v>
      </c>
      <c r="E107" s="6">
        <v>4.065040650406504E-2</v>
      </c>
      <c r="F107" s="6">
        <v>0.65098166884762465</v>
      </c>
      <c r="G107">
        <v>68</v>
      </c>
      <c r="H107" s="6">
        <v>0.68555945733892576</v>
      </c>
      <c r="I107" s="4">
        <v>1761821</v>
      </c>
      <c r="J107" s="4">
        <v>971905</v>
      </c>
      <c r="K107" s="4">
        <v>8236.483050847457</v>
      </c>
      <c r="L107">
        <v>0.30195008459996786</v>
      </c>
      <c r="M107">
        <v>70</v>
      </c>
      <c r="N107" s="6">
        <v>0.72749920821364644</v>
      </c>
      <c r="O107">
        <v>79</v>
      </c>
      <c r="P107">
        <v>9.9700000000000006</v>
      </c>
      <c r="Q107" s="6">
        <v>0.80924460018436983</v>
      </c>
      <c r="R107">
        <v>247</v>
      </c>
      <c r="S107">
        <v>51</v>
      </c>
      <c r="T107">
        <v>79.400000000000006</v>
      </c>
    </row>
    <row r="108" spans="1:20" x14ac:dyDescent="0.2">
      <c r="A108" s="5">
        <v>45962</v>
      </c>
      <c r="B108" t="s">
        <v>96</v>
      </c>
      <c r="C108" s="6">
        <v>8.4745762711864406E-3</v>
      </c>
      <c r="D108" s="6">
        <v>1.6563944530046226E-2</v>
      </c>
      <c r="E108" s="6">
        <v>2.4793388429752067E-2</v>
      </c>
      <c r="F108" s="6">
        <v>0.86528419918824362</v>
      </c>
      <c r="G108">
        <v>58</v>
      </c>
      <c r="H108" s="6">
        <v>0.67402903682585025</v>
      </c>
      <c r="I108" s="4">
        <v>1761821</v>
      </c>
      <c r="J108" s="4">
        <v>948754</v>
      </c>
      <c r="K108" s="4">
        <v>8040.2881355932204</v>
      </c>
      <c r="L108">
        <v>0.25786728617719962</v>
      </c>
      <c r="M108">
        <v>66</v>
      </c>
      <c r="N108" s="6">
        <v>0.85211620587500858</v>
      </c>
      <c r="O108">
        <v>87</v>
      </c>
      <c r="P108">
        <v>8.9</v>
      </c>
      <c r="Q108" s="6">
        <v>0.84939257394828893</v>
      </c>
      <c r="R108">
        <v>235</v>
      </c>
      <c r="S108">
        <v>48</v>
      </c>
      <c r="T108">
        <v>80.8</v>
      </c>
    </row>
    <row r="109" spans="1:20" x14ac:dyDescent="0.2">
      <c r="A109" s="5">
        <v>45992</v>
      </c>
      <c r="B109" t="s">
        <v>96</v>
      </c>
      <c r="C109" s="6">
        <v>1.7094017094017096E-2</v>
      </c>
      <c r="D109" s="6">
        <v>2.7195027195027196E-2</v>
      </c>
      <c r="E109" s="6">
        <v>9.3023255813953487E-2</v>
      </c>
      <c r="F109" s="6">
        <v>0.85772017183497928</v>
      </c>
      <c r="G109">
        <v>62</v>
      </c>
      <c r="H109" s="6">
        <v>0.61936057637728248</v>
      </c>
      <c r="I109" s="4">
        <v>1746890</v>
      </c>
      <c r="J109" s="4">
        <v>947509</v>
      </c>
      <c r="K109" s="4">
        <v>8098.3675213675215</v>
      </c>
      <c r="L109">
        <v>0.28181568387248196</v>
      </c>
      <c r="M109">
        <v>63</v>
      </c>
      <c r="N109" s="6">
        <v>0.70012583407482099</v>
      </c>
      <c r="O109">
        <v>69</v>
      </c>
      <c r="P109">
        <v>14.36</v>
      </c>
      <c r="Q109" s="6">
        <v>0.78885142976888034</v>
      </c>
      <c r="R109">
        <v>221</v>
      </c>
      <c r="S109">
        <v>63</v>
      </c>
      <c r="T109">
        <v>78</v>
      </c>
    </row>
    <row r="110" spans="1:20" x14ac:dyDescent="0.2">
      <c r="A110" s="5">
        <v>45658</v>
      </c>
      <c r="B110" t="s">
        <v>143</v>
      </c>
      <c r="C110" s="6">
        <v>2.5000000000000001E-2</v>
      </c>
      <c r="D110" s="6">
        <v>3.0681818181818182E-2</v>
      </c>
      <c r="E110" s="6">
        <v>5.8823529411764705E-2</v>
      </c>
      <c r="F110" s="6">
        <v>0.72301123523304978</v>
      </c>
      <c r="G110">
        <v>50</v>
      </c>
      <c r="H110" s="6">
        <v>0.66831936894237454</v>
      </c>
      <c r="I110" s="4">
        <v>1286227</v>
      </c>
      <c r="J110" s="4">
        <v>700094</v>
      </c>
      <c r="K110" s="4">
        <v>8751.1749999999993</v>
      </c>
      <c r="L110">
        <v>0.32881831900589864</v>
      </c>
      <c r="M110">
        <v>55</v>
      </c>
      <c r="N110" s="6">
        <v>0.60201642612249562</v>
      </c>
      <c r="O110">
        <v>69</v>
      </c>
      <c r="P110">
        <v>14.34</v>
      </c>
      <c r="Q110" s="6">
        <v>0.79936491251644159</v>
      </c>
      <c r="R110">
        <v>115</v>
      </c>
      <c r="S110">
        <v>59</v>
      </c>
      <c r="T110">
        <v>73.099999999999994</v>
      </c>
    </row>
    <row r="111" spans="1:20" x14ac:dyDescent="0.2">
      <c r="A111" s="5">
        <v>45689</v>
      </c>
      <c r="B111" t="s">
        <v>143</v>
      </c>
      <c r="C111" s="6">
        <v>2.5000000000000001E-2</v>
      </c>
      <c r="D111" s="6">
        <v>2.1022727272727273E-2</v>
      </c>
      <c r="E111" s="6">
        <v>8.0459770114942528E-2</v>
      </c>
      <c r="F111" s="6">
        <v>0.70839263618584736</v>
      </c>
      <c r="G111">
        <v>73</v>
      </c>
      <c r="H111" s="6">
        <v>0.5963292418320969</v>
      </c>
      <c r="I111" s="4">
        <v>1286227</v>
      </c>
      <c r="J111" s="4">
        <v>778662</v>
      </c>
      <c r="K111" s="4">
        <v>9733.2749999999996</v>
      </c>
      <c r="L111">
        <v>0.31636250832862317</v>
      </c>
      <c r="M111">
        <v>71</v>
      </c>
      <c r="N111" s="6">
        <v>0.70387013909936447</v>
      </c>
      <c r="O111">
        <v>77</v>
      </c>
      <c r="P111">
        <v>13.85</v>
      </c>
      <c r="Q111" s="6">
        <v>0.83787623471586581</v>
      </c>
      <c r="R111">
        <v>102</v>
      </c>
      <c r="S111">
        <v>58</v>
      </c>
      <c r="T111">
        <v>78.5</v>
      </c>
    </row>
    <row r="112" spans="1:20" x14ac:dyDescent="0.2">
      <c r="A112" s="5">
        <v>45717</v>
      </c>
      <c r="B112" t="s">
        <v>143</v>
      </c>
      <c r="C112" s="6">
        <v>2.564102564102564E-2</v>
      </c>
      <c r="D112" s="6">
        <v>1.7482517482517484E-2</v>
      </c>
      <c r="E112" s="6">
        <v>9.3023255813953487E-2</v>
      </c>
      <c r="F112" s="6">
        <v>0.76473395783995779</v>
      </c>
      <c r="G112">
        <v>64</v>
      </c>
      <c r="H112" s="6">
        <v>0.51657815719886613</v>
      </c>
      <c r="I112" s="4">
        <v>1254071</v>
      </c>
      <c r="J112" s="4">
        <v>757555</v>
      </c>
      <c r="K112" s="4">
        <v>9712.2435897435898</v>
      </c>
      <c r="L112">
        <v>0.3643055297507079</v>
      </c>
      <c r="M112">
        <v>69</v>
      </c>
      <c r="N112" s="6">
        <v>0.68341693771125755</v>
      </c>
      <c r="O112">
        <v>74</v>
      </c>
      <c r="P112">
        <v>13.98</v>
      </c>
      <c r="Q112" s="6">
        <v>0.78117730537567809</v>
      </c>
      <c r="R112">
        <v>96</v>
      </c>
      <c r="S112">
        <v>62</v>
      </c>
      <c r="T112">
        <v>76.400000000000006</v>
      </c>
    </row>
    <row r="113" spans="1:20" x14ac:dyDescent="0.2">
      <c r="A113" s="5">
        <v>45748</v>
      </c>
      <c r="B113" t="s">
        <v>143</v>
      </c>
      <c r="C113" s="6">
        <v>2.564102564102564E-2</v>
      </c>
      <c r="D113" s="6">
        <v>1.5151515151515152E-2</v>
      </c>
      <c r="E113" s="6">
        <v>6.0240963855421686E-2</v>
      </c>
      <c r="F113" s="6">
        <v>0.6661643999604</v>
      </c>
      <c r="G113">
        <v>57</v>
      </c>
      <c r="H113" s="6">
        <v>0.84744133865287452</v>
      </c>
      <c r="I113" s="4">
        <v>1254071</v>
      </c>
      <c r="J113" s="4">
        <v>743467</v>
      </c>
      <c r="K113" s="4">
        <v>9531.6282051282051</v>
      </c>
      <c r="L113">
        <v>0.34115373053040854</v>
      </c>
      <c r="M113">
        <v>57</v>
      </c>
      <c r="N113" s="6">
        <v>0.66542901667843535</v>
      </c>
      <c r="O113">
        <v>73</v>
      </c>
      <c r="P113">
        <v>11.91</v>
      </c>
      <c r="Q113" s="6">
        <v>0.79724696589303257</v>
      </c>
      <c r="R113">
        <v>110</v>
      </c>
      <c r="S113">
        <v>57</v>
      </c>
      <c r="T113">
        <v>77.900000000000006</v>
      </c>
    </row>
    <row r="114" spans="1:20" x14ac:dyDescent="0.2">
      <c r="A114" s="5">
        <v>45778</v>
      </c>
      <c r="B114" t="s">
        <v>143</v>
      </c>
      <c r="C114" s="6">
        <v>2.5974025974025976E-2</v>
      </c>
      <c r="D114" s="6">
        <v>1.948051948051948E-2</v>
      </c>
      <c r="E114" s="6">
        <v>7.2289156626506021E-2</v>
      </c>
      <c r="F114" s="6">
        <v>0.74897778532899961</v>
      </c>
      <c r="G114">
        <v>58</v>
      </c>
      <c r="H114" s="6">
        <v>0.56324413368723281</v>
      </c>
      <c r="I114" s="4">
        <v>1237993</v>
      </c>
      <c r="J114" s="4">
        <v>670973</v>
      </c>
      <c r="K114" s="4">
        <v>8713.9350649350654</v>
      </c>
      <c r="L114">
        <v>0.27207423628405009</v>
      </c>
      <c r="M114">
        <v>65</v>
      </c>
      <c r="N114" s="6">
        <v>0.7100800891690584</v>
      </c>
      <c r="O114">
        <v>72</v>
      </c>
      <c r="P114">
        <v>13.71</v>
      </c>
      <c r="Q114" s="6">
        <v>0.76750607197954834</v>
      </c>
      <c r="R114">
        <v>171</v>
      </c>
      <c r="S114">
        <v>61</v>
      </c>
      <c r="T114">
        <v>75</v>
      </c>
    </row>
    <row r="115" spans="1:20" x14ac:dyDescent="0.2">
      <c r="A115" s="5">
        <v>45809</v>
      </c>
      <c r="B115" t="s">
        <v>143</v>
      </c>
      <c r="C115" s="6">
        <v>1.3157894736842105E-2</v>
      </c>
      <c r="D115" s="6">
        <v>3.2894736842105261E-2</v>
      </c>
      <c r="E115" s="6">
        <v>0</v>
      </c>
      <c r="F115" s="6">
        <v>0.92182315572174878</v>
      </c>
      <c r="G115">
        <v>71</v>
      </c>
      <c r="H115" s="6">
        <v>0.84053594749465144</v>
      </c>
      <c r="I115" s="4">
        <v>1221915</v>
      </c>
      <c r="J115" s="4">
        <v>730868</v>
      </c>
      <c r="K115" s="4">
        <v>9616.6842105263149</v>
      </c>
      <c r="L115">
        <v>0.26421968794883444</v>
      </c>
      <c r="M115">
        <v>77</v>
      </c>
      <c r="N115" s="6">
        <v>0.81295600928950484</v>
      </c>
      <c r="O115">
        <v>87</v>
      </c>
      <c r="P115">
        <v>9.4700000000000006</v>
      </c>
      <c r="Q115" s="6">
        <v>0.89003651144762397</v>
      </c>
      <c r="R115">
        <v>95</v>
      </c>
      <c r="S115">
        <v>45</v>
      </c>
      <c r="T115">
        <v>84.1</v>
      </c>
    </row>
    <row r="116" spans="1:20" x14ac:dyDescent="0.2">
      <c r="A116" s="5">
        <v>45839</v>
      </c>
      <c r="B116" t="s">
        <v>143</v>
      </c>
      <c r="C116" s="6">
        <v>1.3157894736842105E-2</v>
      </c>
      <c r="D116" s="6">
        <v>2.0933014354066987E-2</v>
      </c>
      <c r="E116" s="6">
        <v>3.7974683544303799E-2</v>
      </c>
      <c r="F116" s="6">
        <v>0.85533300402121692</v>
      </c>
      <c r="G116">
        <v>65</v>
      </c>
      <c r="H116" s="6">
        <v>0.73894980798872301</v>
      </c>
      <c r="I116" s="4">
        <v>1221915</v>
      </c>
      <c r="J116" s="4">
        <v>686669</v>
      </c>
      <c r="K116" s="4">
        <v>9035.1184210526317</v>
      </c>
      <c r="L116">
        <v>0.33285293985260839</v>
      </c>
      <c r="M116">
        <v>72</v>
      </c>
      <c r="N116" s="6">
        <v>0.74805355909039162</v>
      </c>
      <c r="O116">
        <v>82</v>
      </c>
      <c r="P116">
        <v>10.75</v>
      </c>
      <c r="Q116" s="6">
        <v>0.85416808033022107</v>
      </c>
      <c r="R116">
        <v>124</v>
      </c>
      <c r="S116">
        <v>50</v>
      </c>
      <c r="T116">
        <v>81.900000000000006</v>
      </c>
    </row>
    <row r="117" spans="1:20" x14ac:dyDescent="0.2">
      <c r="A117" s="5">
        <v>45870</v>
      </c>
      <c r="B117" t="s">
        <v>143</v>
      </c>
      <c r="C117" s="6">
        <v>2.6315789473684209E-2</v>
      </c>
      <c r="D117" s="6">
        <v>3.0502392344497607E-2</v>
      </c>
      <c r="E117" s="6">
        <v>2.564102564102564E-2</v>
      </c>
      <c r="F117" s="6">
        <v>0.74123592398674998</v>
      </c>
      <c r="G117">
        <v>55</v>
      </c>
      <c r="H117" s="6">
        <v>0.5248103555857121</v>
      </c>
      <c r="I117" s="4">
        <v>1221915</v>
      </c>
      <c r="J117" s="4">
        <v>665557</v>
      </c>
      <c r="K117" s="4">
        <v>8757.3289473684217</v>
      </c>
      <c r="L117">
        <v>0.29347458702119217</v>
      </c>
      <c r="M117">
        <v>53</v>
      </c>
      <c r="N117" s="6">
        <v>0.55953452612098853</v>
      </c>
      <c r="O117">
        <v>71</v>
      </c>
      <c r="P117">
        <v>12.61</v>
      </c>
      <c r="Q117" s="6">
        <v>0.79514627437661145</v>
      </c>
      <c r="R117">
        <v>146</v>
      </c>
      <c r="S117">
        <v>56</v>
      </c>
      <c r="T117">
        <v>72.599999999999994</v>
      </c>
    </row>
    <row r="118" spans="1:20" x14ac:dyDescent="0.2">
      <c r="A118" s="5">
        <v>45901</v>
      </c>
      <c r="B118" t="s">
        <v>143</v>
      </c>
      <c r="C118" s="6">
        <v>1.2987012987012988E-2</v>
      </c>
      <c r="D118" s="6">
        <v>2.7744982290436836E-2</v>
      </c>
      <c r="E118" s="6">
        <v>6.097560975609756E-2</v>
      </c>
      <c r="F118" s="6">
        <v>0.87896652760127492</v>
      </c>
      <c r="G118">
        <v>63</v>
      </c>
      <c r="H118" s="6">
        <v>0.6326010817129013</v>
      </c>
      <c r="I118" s="4">
        <v>1237993</v>
      </c>
      <c r="J118" s="4">
        <v>703077</v>
      </c>
      <c r="K118" s="4">
        <v>9130.8701298701308</v>
      </c>
      <c r="L118">
        <v>0.32115448148737513</v>
      </c>
      <c r="M118">
        <v>66</v>
      </c>
      <c r="N118" s="6">
        <v>0.85454527598816765</v>
      </c>
      <c r="O118">
        <v>78</v>
      </c>
      <c r="P118">
        <v>10.89</v>
      </c>
      <c r="Q118" s="6">
        <v>0.79606186571536108</v>
      </c>
      <c r="R118">
        <v>186</v>
      </c>
      <c r="S118">
        <v>58</v>
      </c>
      <c r="T118">
        <v>79</v>
      </c>
    </row>
    <row r="119" spans="1:20" x14ac:dyDescent="0.2">
      <c r="A119" s="5">
        <v>45931</v>
      </c>
      <c r="B119" t="s">
        <v>143</v>
      </c>
      <c r="C119" s="6">
        <v>2.5974025974025976E-2</v>
      </c>
      <c r="D119" s="6">
        <v>1.5938606847697757E-2</v>
      </c>
      <c r="E119" s="6">
        <v>7.2289156626506021E-2</v>
      </c>
      <c r="F119" s="6">
        <v>0.80195805913920304</v>
      </c>
      <c r="G119">
        <v>59</v>
      </c>
      <c r="H119" s="6">
        <v>0.63358264608443005</v>
      </c>
      <c r="I119" s="4">
        <v>1237993</v>
      </c>
      <c r="J119" s="4">
        <v>650774</v>
      </c>
      <c r="K119" s="4">
        <v>8451.6103896103905</v>
      </c>
      <c r="L119">
        <v>0.28529563575884515</v>
      </c>
      <c r="M119">
        <v>53</v>
      </c>
      <c r="N119" s="6">
        <v>0.68285278181323517</v>
      </c>
      <c r="O119">
        <v>71</v>
      </c>
      <c r="P119">
        <v>13.29</v>
      </c>
      <c r="Q119" s="6">
        <v>0.8203180361460618</v>
      </c>
      <c r="R119">
        <v>184</v>
      </c>
      <c r="S119">
        <v>57</v>
      </c>
      <c r="T119">
        <v>78.099999999999994</v>
      </c>
    </row>
    <row r="120" spans="1:20" x14ac:dyDescent="0.2">
      <c r="A120" s="5">
        <v>45962</v>
      </c>
      <c r="B120" t="s">
        <v>143</v>
      </c>
      <c r="C120" s="6">
        <v>2.6315789473684209E-2</v>
      </c>
      <c r="D120" s="6">
        <v>2.751196172248804E-2</v>
      </c>
      <c r="E120" s="6">
        <v>7.3170731707317069E-2</v>
      </c>
      <c r="F120" s="6">
        <v>0.70515026430147698</v>
      </c>
      <c r="G120">
        <v>57</v>
      </c>
      <c r="H120" s="6">
        <v>0.42808331393653953</v>
      </c>
      <c r="I120" s="4">
        <v>1221915</v>
      </c>
      <c r="J120" s="4">
        <v>620472</v>
      </c>
      <c r="K120" s="4">
        <v>8164.105263157895</v>
      </c>
      <c r="L120">
        <v>0.24762524398178271</v>
      </c>
      <c r="M120">
        <v>60</v>
      </c>
      <c r="N120" s="6">
        <v>0.76478305044626038</v>
      </c>
      <c r="O120">
        <v>70</v>
      </c>
      <c r="P120">
        <v>14.53</v>
      </c>
      <c r="Q120" s="6">
        <v>0.75895623523004796</v>
      </c>
      <c r="R120">
        <v>103</v>
      </c>
      <c r="S120">
        <v>64</v>
      </c>
      <c r="T120">
        <v>71.2</v>
      </c>
    </row>
    <row r="121" spans="1:20" x14ac:dyDescent="0.2">
      <c r="A121" s="5">
        <v>45992</v>
      </c>
      <c r="B121" t="s">
        <v>143</v>
      </c>
      <c r="C121" s="6">
        <v>2.6315789473684209E-2</v>
      </c>
      <c r="D121" s="6">
        <v>1.9736842105263157E-2</v>
      </c>
      <c r="E121" s="6">
        <v>0</v>
      </c>
      <c r="F121" s="6">
        <v>0.74388365197086259</v>
      </c>
      <c r="G121">
        <v>45</v>
      </c>
      <c r="H121" s="6">
        <v>0.44159193363673865</v>
      </c>
      <c r="I121" s="4">
        <v>1221915</v>
      </c>
      <c r="J121" s="4">
        <v>658043</v>
      </c>
      <c r="K121" s="4">
        <v>8658.46052631579</v>
      </c>
      <c r="L121">
        <v>0.25338751058788866</v>
      </c>
      <c r="M121">
        <v>52</v>
      </c>
      <c r="N121" s="6">
        <v>0.49696030333444624</v>
      </c>
      <c r="O121">
        <v>73</v>
      </c>
      <c r="P121">
        <v>9.8699999999999992</v>
      </c>
      <c r="Q121" s="6">
        <v>0.84623099008864744</v>
      </c>
      <c r="R121">
        <v>74</v>
      </c>
      <c r="S121">
        <v>47</v>
      </c>
      <c r="T121">
        <v>71.8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1"/>
  <sheetViews>
    <sheetView zoomScaleNormal="60" zoomScaleSheetLayoutView="100" workbookViewId="0"/>
  </sheetViews>
  <sheetFormatPr defaultRowHeight="15" x14ac:dyDescent="0.2"/>
  <cols>
    <col min="1" max="26" width="16.0078125" customWidth="1"/>
  </cols>
  <sheetData>
    <row r="1" spans="1:26" ht="27.75" x14ac:dyDescent="0.2">
      <c r="A1" s="1" t="s">
        <v>1802</v>
      </c>
      <c r="B1" s="1" t="s">
        <v>1803</v>
      </c>
      <c r="C1" s="1" t="s">
        <v>1804</v>
      </c>
      <c r="D1" s="1" t="s">
        <v>1805</v>
      </c>
      <c r="E1" s="1" t="s">
        <v>1806</v>
      </c>
      <c r="F1" s="1" t="s">
        <v>1807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t="s">
        <v>12</v>
      </c>
      <c r="B2" t="s">
        <v>1808</v>
      </c>
      <c r="C2" t="s">
        <v>1809</v>
      </c>
      <c r="D2" t="s">
        <v>1810</v>
      </c>
      <c r="E2" t="s">
        <v>1811</v>
      </c>
      <c r="F2" t="s">
        <v>1812</v>
      </c>
    </row>
    <row r="3" spans="1:26" x14ac:dyDescent="0.2">
      <c r="A3" t="s">
        <v>12</v>
      </c>
      <c r="B3" t="s">
        <v>1813</v>
      </c>
      <c r="C3" t="s">
        <v>1814</v>
      </c>
      <c r="D3" t="s">
        <v>1815</v>
      </c>
      <c r="E3" t="s">
        <v>1816</v>
      </c>
      <c r="F3" t="s">
        <v>1817</v>
      </c>
    </row>
    <row r="4" spans="1:26" x14ac:dyDescent="0.2">
      <c r="A4" t="s">
        <v>12</v>
      </c>
      <c r="B4" t="s">
        <v>1818</v>
      </c>
      <c r="C4" t="s">
        <v>1819</v>
      </c>
      <c r="D4" t="s">
        <v>1820</v>
      </c>
      <c r="E4" t="s">
        <v>1821</v>
      </c>
      <c r="F4" t="s">
        <v>1822</v>
      </c>
    </row>
    <row r="5" spans="1:26" x14ac:dyDescent="0.2">
      <c r="A5" t="s">
        <v>15</v>
      </c>
      <c r="B5" t="s">
        <v>1823</v>
      </c>
      <c r="C5" t="s">
        <v>1824</v>
      </c>
      <c r="D5" t="s">
        <v>1825</v>
      </c>
      <c r="E5" t="s">
        <v>1826</v>
      </c>
      <c r="F5" t="s">
        <v>1827</v>
      </c>
    </row>
    <row r="6" spans="1:26" x14ac:dyDescent="0.2">
      <c r="A6" t="s">
        <v>1828</v>
      </c>
      <c r="B6" t="s">
        <v>1829</v>
      </c>
      <c r="C6" t="s">
        <v>1830</v>
      </c>
      <c r="D6" t="s">
        <v>1831</v>
      </c>
      <c r="E6" t="s">
        <v>1832</v>
      </c>
      <c r="F6" t="s">
        <v>1833</v>
      </c>
    </row>
    <row r="7" spans="1:26" x14ac:dyDescent="0.2">
      <c r="A7" t="s">
        <v>1828</v>
      </c>
      <c r="B7" t="s">
        <v>1834</v>
      </c>
      <c r="C7" t="s">
        <v>1835</v>
      </c>
      <c r="D7" t="s">
        <v>1836</v>
      </c>
      <c r="E7" t="s">
        <v>1837</v>
      </c>
      <c r="F7" t="s">
        <v>1838</v>
      </c>
    </row>
    <row r="8" spans="1:26" x14ac:dyDescent="0.2">
      <c r="A8" t="s">
        <v>96</v>
      </c>
      <c r="B8" t="s">
        <v>1839</v>
      </c>
      <c r="C8" t="s">
        <v>1840</v>
      </c>
      <c r="D8" t="s">
        <v>1841</v>
      </c>
      <c r="E8" t="s">
        <v>1842</v>
      </c>
      <c r="F8" t="s">
        <v>1843</v>
      </c>
    </row>
    <row r="9" spans="1:26" x14ac:dyDescent="0.2">
      <c r="A9" t="s">
        <v>1844</v>
      </c>
      <c r="B9" t="s">
        <v>1845</v>
      </c>
      <c r="C9" t="s">
        <v>1846</v>
      </c>
      <c r="D9" t="s">
        <v>1847</v>
      </c>
      <c r="E9" t="s">
        <v>1848</v>
      </c>
      <c r="F9" t="s">
        <v>1849</v>
      </c>
    </row>
    <row r="10" spans="1:26" x14ac:dyDescent="0.2">
      <c r="A10" t="s">
        <v>1850</v>
      </c>
      <c r="B10" t="s">
        <v>1851</v>
      </c>
      <c r="C10" t="s">
        <v>1852</v>
      </c>
      <c r="D10" t="s">
        <v>1853</v>
      </c>
      <c r="E10" t="s">
        <v>1854</v>
      </c>
      <c r="F10" t="s">
        <v>1855</v>
      </c>
    </row>
    <row r="11" spans="1:26" x14ac:dyDescent="0.2">
      <c r="A11" t="s">
        <v>1856</v>
      </c>
      <c r="B11" t="s">
        <v>1857</v>
      </c>
      <c r="C11" t="s">
        <v>1858</v>
      </c>
      <c r="D11" t="s">
        <v>1859</v>
      </c>
      <c r="E11" t="s">
        <v>1860</v>
      </c>
      <c r="F11" t="s">
        <v>1861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3"/>
  <sheetViews>
    <sheetView zoomScaleNormal="60" zoomScaleSheetLayoutView="100" workbookViewId="0"/>
  </sheetViews>
  <sheetFormatPr defaultRowHeight="15" x14ac:dyDescent="0.2"/>
  <cols>
    <col min="1" max="26" width="16.0078125" customWidth="1"/>
  </cols>
  <sheetData>
    <row r="1" spans="1:26" x14ac:dyDescent="0.2">
      <c r="A1" s="1" t="s">
        <v>1862</v>
      </c>
      <c r="B1" s="1" t="s">
        <v>1863</v>
      </c>
      <c r="C1" s="1" t="s">
        <v>1864</v>
      </c>
      <c r="D1" s="1" t="s">
        <v>1865</v>
      </c>
      <c r="E1" s="1" t="s">
        <v>1866</v>
      </c>
      <c r="F1" s="1" t="s">
        <v>1867</v>
      </c>
      <c r="G1" s="1" t="s">
        <v>1868</v>
      </c>
      <c r="H1" s="1" t="s">
        <v>1869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t="s">
        <v>1870</v>
      </c>
      <c r="B2" t="s">
        <v>465</v>
      </c>
      <c r="C2" t="s">
        <v>1871</v>
      </c>
      <c r="D2" t="s">
        <v>1872</v>
      </c>
      <c r="E2" s="9">
        <v>0.96</v>
      </c>
      <c r="F2" t="s">
        <v>1873</v>
      </c>
      <c r="G2" t="s">
        <v>71</v>
      </c>
      <c r="H2" t="s">
        <v>1874</v>
      </c>
    </row>
    <row r="3" spans="1:26" x14ac:dyDescent="0.2">
      <c r="A3" t="s">
        <v>125</v>
      </c>
      <c r="B3" t="s">
        <v>1875</v>
      </c>
      <c r="C3" t="s">
        <v>1876</v>
      </c>
      <c r="D3" t="s">
        <v>1877</v>
      </c>
      <c r="E3" s="9">
        <v>0.78</v>
      </c>
      <c r="F3" t="s">
        <v>1878</v>
      </c>
      <c r="G3" t="s">
        <v>86</v>
      </c>
      <c r="H3" t="s">
        <v>1879</v>
      </c>
    </row>
    <row r="4" spans="1:26" x14ac:dyDescent="0.2">
      <c r="A4" t="s">
        <v>1880</v>
      </c>
      <c r="B4" t="s">
        <v>465</v>
      </c>
      <c r="C4" t="s">
        <v>1881</v>
      </c>
      <c r="D4" t="s">
        <v>1882</v>
      </c>
      <c r="E4" s="9">
        <v>0.82</v>
      </c>
      <c r="F4" t="s">
        <v>1878</v>
      </c>
      <c r="G4" t="s">
        <v>86</v>
      </c>
      <c r="H4" t="s">
        <v>1883</v>
      </c>
    </row>
    <row r="5" spans="1:26" x14ac:dyDescent="0.2">
      <c r="A5" t="s">
        <v>1884</v>
      </c>
      <c r="B5" t="s">
        <v>243</v>
      </c>
      <c r="C5" t="s">
        <v>1885</v>
      </c>
      <c r="D5" t="s">
        <v>1886</v>
      </c>
      <c r="E5" s="9">
        <v>0.7</v>
      </c>
      <c r="F5" t="s">
        <v>1887</v>
      </c>
      <c r="G5" t="s">
        <v>366</v>
      </c>
      <c r="H5" t="s">
        <v>1888</v>
      </c>
    </row>
    <row r="6" spans="1:26" x14ac:dyDescent="0.2">
      <c r="A6" t="s">
        <v>1889</v>
      </c>
      <c r="B6" t="s">
        <v>1890</v>
      </c>
      <c r="C6" t="s">
        <v>1891</v>
      </c>
      <c r="D6" t="s">
        <v>1892</v>
      </c>
      <c r="E6" s="9">
        <v>0.57999999999999996</v>
      </c>
      <c r="F6" t="s">
        <v>1887</v>
      </c>
      <c r="G6" t="s">
        <v>366</v>
      </c>
      <c r="H6" t="s">
        <v>1893</v>
      </c>
    </row>
    <row r="7" spans="1:26" x14ac:dyDescent="0.2">
      <c r="A7" t="s">
        <v>1894</v>
      </c>
      <c r="B7" t="s">
        <v>12</v>
      </c>
      <c r="C7" t="s">
        <v>1895</v>
      </c>
      <c r="D7" t="s">
        <v>1896</v>
      </c>
      <c r="E7" s="9">
        <v>0.91</v>
      </c>
      <c r="F7" t="s">
        <v>1873</v>
      </c>
      <c r="G7" t="s">
        <v>71</v>
      </c>
      <c r="H7" t="s">
        <v>1897</v>
      </c>
    </row>
    <row r="8" spans="1:26" x14ac:dyDescent="0.2">
      <c r="A8" t="s">
        <v>1898</v>
      </c>
      <c r="B8" t="s">
        <v>1899</v>
      </c>
      <c r="C8" t="s">
        <v>1900</v>
      </c>
      <c r="D8" t="s">
        <v>1901</v>
      </c>
      <c r="E8" s="9">
        <v>0.74</v>
      </c>
      <c r="F8" t="s">
        <v>1878</v>
      </c>
      <c r="G8" t="s">
        <v>86</v>
      </c>
      <c r="H8" t="s">
        <v>1902</v>
      </c>
    </row>
    <row r="9" spans="1:26" x14ac:dyDescent="0.2">
      <c r="A9" t="s">
        <v>1903</v>
      </c>
      <c r="B9" t="s">
        <v>1904</v>
      </c>
      <c r="C9" t="s">
        <v>1905</v>
      </c>
      <c r="D9" t="s">
        <v>1906</v>
      </c>
      <c r="E9" s="9">
        <v>0.86</v>
      </c>
      <c r="F9" t="s">
        <v>1873</v>
      </c>
      <c r="G9" t="s">
        <v>71</v>
      </c>
      <c r="H9" t="s">
        <v>1907</v>
      </c>
    </row>
    <row r="10" spans="1:26" x14ac:dyDescent="0.2">
      <c r="A10" t="s">
        <v>1908</v>
      </c>
      <c r="B10" t="s">
        <v>1909</v>
      </c>
      <c r="C10" t="s">
        <v>1910</v>
      </c>
      <c r="D10" t="s">
        <v>1911</v>
      </c>
      <c r="E10" s="9">
        <v>0.8</v>
      </c>
      <c r="F10" t="s">
        <v>1878</v>
      </c>
      <c r="G10" t="s">
        <v>86</v>
      </c>
      <c r="H10" t="s">
        <v>1912</v>
      </c>
    </row>
    <row r="11" spans="1:26" x14ac:dyDescent="0.2">
      <c r="A11" t="s">
        <v>1913</v>
      </c>
      <c r="B11" t="s">
        <v>1914</v>
      </c>
      <c r="C11" t="s">
        <v>1915</v>
      </c>
      <c r="D11" t="s">
        <v>1916</v>
      </c>
      <c r="E11" s="9">
        <v>0.76</v>
      </c>
      <c r="F11" t="s">
        <v>1878</v>
      </c>
      <c r="G11" t="s">
        <v>86</v>
      </c>
      <c r="H11" t="s">
        <v>1917</v>
      </c>
    </row>
    <row r="12" spans="1:26" x14ac:dyDescent="0.2">
      <c r="A12" t="s">
        <v>1918</v>
      </c>
      <c r="B12" t="s">
        <v>1919</v>
      </c>
      <c r="C12" t="s">
        <v>1920</v>
      </c>
      <c r="D12" t="s">
        <v>1921</v>
      </c>
      <c r="E12" s="9">
        <v>0.62</v>
      </c>
      <c r="F12" t="s">
        <v>1887</v>
      </c>
      <c r="G12" t="s">
        <v>366</v>
      </c>
      <c r="H12" t="s">
        <v>1922</v>
      </c>
    </row>
    <row r="13" spans="1:26" x14ac:dyDescent="0.2">
      <c r="A13" t="s">
        <v>1923</v>
      </c>
      <c r="B13" t="s">
        <v>143</v>
      </c>
      <c r="C13" t="s">
        <v>1924</v>
      </c>
      <c r="D13" t="s">
        <v>1925</v>
      </c>
      <c r="E13" s="9">
        <v>0.68</v>
      </c>
      <c r="F13" t="s">
        <v>1887</v>
      </c>
      <c r="G13" t="s">
        <v>366</v>
      </c>
      <c r="H13" t="s">
        <v>1926</v>
      </c>
    </row>
  </sheetData>
  <conditionalFormatting sqref="E2:E13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34"/>
  <sheetViews>
    <sheetView tabSelected="1" topLeftCell="A15" zoomScaleNormal="60" zoomScaleSheetLayoutView="100" workbookViewId="0">
      <selection activeCell="A19" sqref="A19"/>
    </sheetView>
  </sheetViews>
  <sheetFormatPr defaultRowHeight="15" x14ac:dyDescent="0.2"/>
  <cols>
    <col min="1" max="1" width="16.0078125" customWidth="1"/>
    <col min="2" max="2" width="40.35546875" bestFit="1" customWidth="1"/>
    <col min="3" max="26" width="16.0078125" customWidth="1"/>
  </cols>
  <sheetData>
    <row r="1" spans="1:26" x14ac:dyDescent="0.2">
      <c r="A1" s="11" t="s">
        <v>1927</v>
      </c>
      <c r="B1" s="12"/>
      <c r="C1" s="12"/>
      <c r="D1" s="12"/>
      <c r="E1" s="12"/>
      <c r="F1" s="12"/>
      <c r="G1" s="12"/>
      <c r="H1" s="12"/>
      <c r="I1" s="12"/>
      <c r="J1" s="1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spans="1:26" x14ac:dyDescent="0.2">
      <c r="A3" s="1" t="s">
        <v>1928</v>
      </c>
      <c r="B3" s="1" t="s">
        <v>1929</v>
      </c>
      <c r="D3" s="1" t="s">
        <v>1930</v>
      </c>
      <c r="E3" s="1" t="s">
        <v>1931</v>
      </c>
      <c r="F3" s="1" t="s">
        <v>1929</v>
      </c>
    </row>
    <row r="4" spans="1:26" x14ac:dyDescent="0.2">
      <c r="A4" t="s">
        <v>1932</v>
      </c>
      <c r="B4">
        <f>AVERAGE(Correlation_Data!G2:G121)</f>
        <v>64.900000000000006</v>
      </c>
      <c r="D4" t="s">
        <v>1933</v>
      </c>
      <c r="E4">
        <f>CORREL(Correlation_Data!G2:G121,Correlation_Data!K2:K121)</f>
        <v>-0.14836384700971034</v>
      </c>
      <c r="F4" s="8">
        <f>CORREL(Correlation_Data!G2:G121,Correlation_Data!K2:K121)</f>
        <v>-0.14836384700971034</v>
      </c>
    </row>
    <row r="5" spans="1:26" x14ac:dyDescent="0.2">
      <c r="A5" t="s">
        <v>1934</v>
      </c>
      <c r="B5" s="6">
        <f>AVERAGE(Correlation_Data!C2:C121)</f>
        <v>1.744465559398093E-2</v>
      </c>
      <c r="D5" t="s">
        <v>1935</v>
      </c>
      <c r="E5">
        <f>CORREL(Correlation_Data!G2:G121,Correlation_Data!M2:M121)</f>
        <v>0.76904193776403806</v>
      </c>
      <c r="F5" s="8">
        <f>CORREL(Correlation_Data!G2:G121,Correlation_Data!M2:M121)</f>
        <v>0.76904193776403806</v>
      </c>
    </row>
    <row r="6" spans="1:26" x14ac:dyDescent="0.2">
      <c r="A6" t="s">
        <v>1936</v>
      </c>
      <c r="B6" s="6">
        <f>AVERAGE(Correlation_Data!D2:D121)</f>
        <v>2.385783483367775E-2</v>
      </c>
      <c r="D6" t="s">
        <v>1937</v>
      </c>
      <c r="E6">
        <f>CORREL(Correlation_Data!F2:F121,Correlation_Data!O2:O121)</f>
        <v>0.39585351872688096</v>
      </c>
      <c r="F6" s="8">
        <f>CORREL(Correlation_Data!F2:F121,Correlation_Data!O2:O121)</f>
        <v>0.39585351872688096</v>
      </c>
    </row>
    <row r="7" spans="1:26" x14ac:dyDescent="0.2">
      <c r="A7" t="s">
        <v>1938</v>
      </c>
      <c r="B7" s="6">
        <f>AVERAGE(Correlation_Data!F2:F121)</f>
        <v>0.80742836349649472</v>
      </c>
      <c r="D7" t="s">
        <v>1939</v>
      </c>
      <c r="E7">
        <f>CORREL(Correlation_Data!C2:C121,Correlation_Data!P2:P121)</f>
        <v>0.32385188286889166</v>
      </c>
      <c r="F7" s="8">
        <f>CORREL(Correlation_Data!C2:C121,Correlation_Data!P2:P121)</f>
        <v>0.32385188286889166</v>
      </c>
    </row>
    <row r="8" spans="1:26" x14ac:dyDescent="0.2">
      <c r="A8" t="s">
        <v>1940</v>
      </c>
      <c r="B8">
        <f>AVERAGE(Correlation_Data!M2:M121)</f>
        <v>65.599999999999994</v>
      </c>
      <c r="D8" t="s">
        <v>1941</v>
      </c>
      <c r="E8">
        <f>CORREL(Correlation_Data!D2:D121,Correlation_Data!Q2:Q121)</f>
        <v>-0.11070889196901619</v>
      </c>
      <c r="F8" s="8">
        <f>CORREL(Correlation_Data!D2:D121,Correlation_Data!Q2:Q121)</f>
        <v>-0.11070889196901619</v>
      </c>
    </row>
    <row r="9" spans="1:26" x14ac:dyDescent="0.2">
      <c r="A9" t="s">
        <v>1942</v>
      </c>
      <c r="B9">
        <f>AVERAGE(Correlation_Data!O2:O121)</f>
        <v>74.358333333333334</v>
      </c>
      <c r="D9" t="s">
        <v>1943</v>
      </c>
      <c r="E9">
        <f>CORREL(Correlation_Data!E2:E121,Correlation_Data!R2:R121)</f>
        <v>0.25061791334624445</v>
      </c>
      <c r="F9" s="8">
        <f>CORREL(Correlation_Data!E2:E121,Correlation_Data!R2:R121)</f>
        <v>0.25061791334624445</v>
      </c>
    </row>
    <row r="10" spans="1:26" x14ac:dyDescent="0.2">
      <c r="A10" t="s">
        <v>1944</v>
      </c>
      <c r="B10">
        <f>AVERAGE(Correlation_Data!Q2:Q121)</f>
        <v>0.80638310129370039</v>
      </c>
      <c r="D10" t="s">
        <v>1945</v>
      </c>
      <c r="E10">
        <f>CORREL(Correlation_Data!T2:T121,Correlation_Data!L2:L121)</f>
        <v>-7.8244347067741634E-3</v>
      </c>
      <c r="F10" s="8">
        <f>CORREL(Correlation_Data!T2:T121,Correlation_Data!L2:L121)</f>
        <v>-7.8244347067741634E-3</v>
      </c>
    </row>
    <row r="11" spans="1:26" x14ac:dyDescent="0.2">
      <c r="A11" t="s">
        <v>1946</v>
      </c>
      <c r="B11">
        <f>AVERAGE(Correlation_Data!T2:T121)</f>
        <v>78.450833333333321</v>
      </c>
    </row>
    <row r="12" spans="1:26" x14ac:dyDescent="0.2">
      <c r="A12" t="s">
        <v>1947</v>
      </c>
      <c r="B12" s="10">
        <f>SUM(Correlation_Data!J2:J121)</f>
        <v>79033312</v>
      </c>
    </row>
    <row r="13" spans="1:26" x14ac:dyDescent="0.2">
      <c r="A13" t="s">
        <v>1948</v>
      </c>
      <c r="B13" s="10">
        <f>SUM(Correlation_Data!I2:I121)</f>
        <v>180439995</v>
      </c>
    </row>
    <row r="16" spans="1:26" x14ac:dyDescent="0.2">
      <c r="A16" s="1" t="s">
        <v>35</v>
      </c>
      <c r="B16" s="1" t="s">
        <v>1949</v>
      </c>
      <c r="C16" s="1" t="s">
        <v>1880</v>
      </c>
      <c r="D16" s="1" t="s">
        <v>1950</v>
      </c>
      <c r="E16" s="1" t="s">
        <v>15</v>
      </c>
      <c r="F16" s="1" t="s">
        <v>1951</v>
      </c>
      <c r="G16" s="1" t="s">
        <v>1952</v>
      </c>
      <c r="H16" s="1" t="s">
        <v>1953</v>
      </c>
    </row>
    <row r="17" spans="1:8" x14ac:dyDescent="0.2">
      <c r="A17" t="s">
        <v>89</v>
      </c>
      <c r="B17">
        <f>AVERAGEIFS(Correlation_Data!G:G,Correlation_Data!B:B,A17)</f>
        <v>63.083333333333336</v>
      </c>
      <c r="C17" s="6">
        <f>AVERAGEIFS(Correlation_Data!C:C,Correlation_Data!B:B,A17)</f>
        <v>2.0593962933717954E-2</v>
      </c>
      <c r="D17" s="6">
        <f>AVERAGEIFS(Correlation_Data!F:F,Correlation_Data!B:B,A17)</f>
        <v>0.80589097259776965</v>
      </c>
      <c r="E17">
        <f>AVERAGEIFS(Correlation_Data!M:M,Correlation_Data!B:B,A17)</f>
        <v>64.416666666666671</v>
      </c>
      <c r="F17">
        <f>AVERAGEIFS(Correlation_Data!O:O,Correlation_Data!B:B,A17)</f>
        <v>76.916666666666671</v>
      </c>
      <c r="G17" s="6">
        <f>AVERAGEIFS(Correlation_Data!Q:Q,Correlation_Data!B:B,A17)</f>
        <v>0.82228321963356399</v>
      </c>
      <c r="H17">
        <f>AVERAGEIFS(Correlation_Data!T:T,Correlation_Data!B:B,A17)</f>
        <v>78.350000000000009</v>
      </c>
    </row>
    <row r="18" spans="1:8" x14ac:dyDescent="0.2">
      <c r="A18" t="s">
        <v>102</v>
      </c>
      <c r="B18">
        <f>AVERAGEIFS(Correlation_Data!G:G,Correlation_Data!B:B,A18)</f>
        <v>64.75</v>
      </c>
      <c r="C18" s="6">
        <f>AVERAGEIFS(Correlation_Data!C:C,Correlation_Data!B:B,A18)</f>
        <v>1.9634331941553496E-2</v>
      </c>
      <c r="D18" s="6">
        <f>AVERAGEIFS(Correlation_Data!F:F,Correlation_Data!B:B,A18)</f>
        <v>0.85904710677772422</v>
      </c>
      <c r="E18">
        <f>AVERAGEIFS(Correlation_Data!M:M,Correlation_Data!B:B,A18)</f>
        <v>65.916666666666671</v>
      </c>
      <c r="F18">
        <f>AVERAGEIFS(Correlation_Data!O:O,Correlation_Data!B:B,A18)</f>
        <v>79.5</v>
      </c>
      <c r="G18" s="6">
        <f>AVERAGEIFS(Correlation_Data!Q:Q,Correlation_Data!B:B,A18)</f>
        <v>0.81930700715865712</v>
      </c>
      <c r="H18">
        <f>AVERAGEIFS(Correlation_Data!T:T,Correlation_Data!B:B,A18)</f>
        <v>78.566666666666663</v>
      </c>
    </row>
    <row r="19" spans="1:8" x14ac:dyDescent="0.2">
      <c r="A19" t="s">
        <v>74</v>
      </c>
      <c r="B19">
        <f>AVERAGEIFS(Correlation_Data!G:G,Correlation_Data!B:B,A19)</f>
        <v>64</v>
      </c>
      <c r="C19" s="6">
        <f>AVERAGEIFS(Correlation_Data!C:C,Correlation_Data!B:B,A19)</f>
        <v>1.6008898957031146E-2</v>
      </c>
      <c r="D19" s="6">
        <f>AVERAGEIFS(Correlation_Data!F:F,Correlation_Data!B:B,A19)</f>
        <v>0.79012077961464733</v>
      </c>
      <c r="E19">
        <f>AVERAGEIFS(Correlation_Data!M:M,Correlation_Data!B:B,A19)</f>
        <v>64.25</v>
      </c>
      <c r="F19">
        <f>AVERAGEIFS(Correlation_Data!O:O,Correlation_Data!B:B,A19)</f>
        <v>70.083333333333329</v>
      </c>
      <c r="G19" s="6">
        <f>AVERAGEIFS(Correlation_Data!Q:Q,Correlation_Data!B:B,A19)</f>
        <v>0.78138253609240993</v>
      </c>
      <c r="H19">
        <f>AVERAGEIFS(Correlation_Data!T:T,Correlation_Data!B:B,A19)</f>
        <v>77.616666666666674</v>
      </c>
    </row>
    <row r="20" spans="1:8" x14ac:dyDescent="0.2">
      <c r="A20" t="s">
        <v>108</v>
      </c>
      <c r="B20">
        <f>AVERAGEIFS(Correlation_Data!G:G,Correlation_Data!B:B,A20)</f>
        <v>67.75</v>
      </c>
      <c r="C20" s="6">
        <f>AVERAGEIFS(Correlation_Data!C:C,Correlation_Data!B:B,A20)</f>
        <v>1.5769449652040513E-2</v>
      </c>
      <c r="D20" s="6">
        <f>AVERAGEIFS(Correlation_Data!F:F,Correlation_Data!B:B,A20)</f>
        <v>0.79366709085505871</v>
      </c>
      <c r="E20">
        <f>AVERAGEIFS(Correlation_Data!M:M,Correlation_Data!B:B,A20)</f>
        <v>67.083333333333329</v>
      </c>
      <c r="F20">
        <f>AVERAGEIFS(Correlation_Data!O:O,Correlation_Data!B:B,A20)</f>
        <v>79.666666666666671</v>
      </c>
      <c r="G20" s="6">
        <f>AVERAGEIFS(Correlation_Data!Q:Q,Correlation_Data!B:B,A20)</f>
        <v>0.84204355661948604</v>
      </c>
      <c r="H20">
        <f>AVERAGEIFS(Correlation_Data!T:T,Correlation_Data!B:B,A20)</f>
        <v>78.75833333333334</v>
      </c>
    </row>
    <row r="21" spans="1:8" x14ac:dyDescent="0.2">
      <c r="A21" t="s">
        <v>12</v>
      </c>
      <c r="B21">
        <f>AVERAGEIFS(Correlation_Data!G:G,Correlation_Data!B:B,A21)</f>
        <v>66.166666666666671</v>
      </c>
      <c r="C21" s="6">
        <f>AVERAGEIFS(Correlation_Data!C:C,Correlation_Data!B:B,A21)</f>
        <v>1.5627514846264845E-2</v>
      </c>
      <c r="D21" s="6">
        <f>AVERAGEIFS(Correlation_Data!F:F,Correlation_Data!B:B,A21)</f>
        <v>0.83300854541397695</v>
      </c>
      <c r="E21">
        <f>AVERAGEIFS(Correlation_Data!M:M,Correlation_Data!B:B,A21)</f>
        <v>65.666666666666671</v>
      </c>
      <c r="F21">
        <f>AVERAGEIFS(Correlation_Data!O:O,Correlation_Data!B:B,A21)</f>
        <v>72.166666666666671</v>
      </c>
      <c r="G21" s="6">
        <f>AVERAGEIFS(Correlation_Data!Q:Q,Correlation_Data!B:B,A21)</f>
        <v>0.79875143872974075</v>
      </c>
      <c r="H21">
        <f>AVERAGEIFS(Correlation_Data!T:T,Correlation_Data!B:B,A21)</f>
        <v>79.916666666666671</v>
      </c>
    </row>
    <row r="22" spans="1:8" x14ac:dyDescent="0.2">
      <c r="A22" t="s">
        <v>124</v>
      </c>
      <c r="B22">
        <f>AVERAGEIFS(Correlation_Data!G:G,Correlation_Data!B:B,A22)</f>
        <v>68.166666666666671</v>
      </c>
      <c r="C22" s="6">
        <f>AVERAGEIFS(Correlation_Data!C:C,Correlation_Data!B:B,A22)</f>
        <v>1.9779202279202275E-2</v>
      </c>
      <c r="D22" s="6">
        <f>AVERAGEIFS(Correlation_Data!F:F,Correlation_Data!B:B,A22)</f>
        <v>0.79938805941179381</v>
      </c>
      <c r="E22">
        <f>AVERAGEIFS(Correlation_Data!M:M,Correlation_Data!B:B,A22)</f>
        <v>66</v>
      </c>
      <c r="F22">
        <f>AVERAGEIFS(Correlation_Data!O:O,Correlation_Data!B:B,A22)</f>
        <v>72.083333333333329</v>
      </c>
      <c r="G22" s="6">
        <f>AVERAGEIFS(Correlation_Data!Q:Q,Correlation_Data!B:B,A22)</f>
        <v>0.7970303709688481</v>
      </c>
      <c r="H22">
        <f>AVERAGEIFS(Correlation_Data!T:T,Correlation_Data!B:B,A22)</f>
        <v>78.483333333333334</v>
      </c>
    </row>
    <row r="23" spans="1:8" x14ac:dyDescent="0.2">
      <c r="A23" t="s">
        <v>133</v>
      </c>
      <c r="B23">
        <f>AVERAGEIFS(Correlation_Data!G:G,Correlation_Data!B:B,A23)</f>
        <v>63.083333333333336</v>
      </c>
      <c r="C23" s="6">
        <f>AVERAGEIFS(Correlation_Data!C:C,Correlation_Data!B:B,A23)</f>
        <v>1.4215477943633766E-2</v>
      </c>
      <c r="D23" s="6">
        <f>AVERAGEIFS(Correlation_Data!F:F,Correlation_Data!B:B,A23)</f>
        <v>0.7786370266099123</v>
      </c>
      <c r="E23">
        <f>AVERAGEIFS(Correlation_Data!M:M,Correlation_Data!B:B,A23)</f>
        <v>66.083333333333329</v>
      </c>
      <c r="F23">
        <f>AVERAGEIFS(Correlation_Data!O:O,Correlation_Data!B:B,A23)</f>
        <v>68.583333333333329</v>
      </c>
      <c r="G23" s="6">
        <f>AVERAGEIFS(Correlation_Data!Q:Q,Correlation_Data!B:B,A23)</f>
        <v>0.78367498906634747</v>
      </c>
      <c r="H23">
        <f>AVERAGEIFS(Correlation_Data!T:T,Correlation_Data!B:B,A23)</f>
        <v>77.649999999999991</v>
      </c>
    </row>
    <row r="24" spans="1:8" x14ac:dyDescent="0.2">
      <c r="A24" t="s">
        <v>61</v>
      </c>
      <c r="B24">
        <f>AVERAGEIFS(Correlation_Data!G:G,Correlation_Data!B:B,A24)</f>
        <v>66.25</v>
      </c>
      <c r="C24" s="6">
        <f>AVERAGEIFS(Correlation_Data!C:C,Correlation_Data!B:B,A24)</f>
        <v>1.6080521236187778E-2</v>
      </c>
      <c r="D24" s="6">
        <f>AVERAGEIFS(Correlation_Data!F:F,Correlation_Data!B:B,A24)</f>
        <v>0.8182676024455523</v>
      </c>
      <c r="E24">
        <f>AVERAGEIFS(Correlation_Data!M:M,Correlation_Data!B:B,A24)</f>
        <v>66.5</v>
      </c>
      <c r="F24">
        <f>AVERAGEIFS(Correlation_Data!O:O,Correlation_Data!B:B,A24)</f>
        <v>71.25</v>
      </c>
      <c r="G24" s="6">
        <f>AVERAGEIFS(Correlation_Data!Q:Q,Correlation_Data!B:B,A24)</f>
        <v>0.79242273023013021</v>
      </c>
      <c r="H24">
        <f>AVERAGEIFS(Correlation_Data!T:T,Correlation_Data!B:B,A24)</f>
        <v>79.208333333333329</v>
      </c>
    </row>
    <row r="25" spans="1:8" x14ac:dyDescent="0.2">
      <c r="A25" t="s">
        <v>96</v>
      </c>
      <c r="B25">
        <f>AVERAGEIFS(Correlation_Data!G:G,Correlation_Data!B:B,A25)</f>
        <v>66</v>
      </c>
      <c r="C25" s="6">
        <f>AVERAGEIFS(Correlation_Data!C:C,Correlation_Data!B:B,A25)</f>
        <v>1.4113839974189961E-2</v>
      </c>
      <c r="D25" s="6">
        <f>AVERAGEIFS(Correlation_Data!F:F,Correlation_Data!B:B,A25)</f>
        <v>0.82462056779761417</v>
      </c>
      <c r="E25">
        <f>AVERAGEIFS(Correlation_Data!M:M,Correlation_Data!B:B,A25)</f>
        <v>67.583333333333329</v>
      </c>
      <c r="F25">
        <f>AVERAGEIFS(Correlation_Data!O:O,Correlation_Data!B:B,A25)</f>
        <v>78.583333333333329</v>
      </c>
      <c r="G25" s="6">
        <f>AVERAGEIFS(Correlation_Data!Q:Q,Correlation_Data!B:B,A25)</f>
        <v>0.81492770745322451</v>
      </c>
      <c r="H25">
        <f>AVERAGEIFS(Correlation_Data!T:T,Correlation_Data!B:B,A25)</f>
        <v>79.325000000000003</v>
      </c>
    </row>
    <row r="26" spans="1:8" x14ac:dyDescent="0.2">
      <c r="A26" t="s">
        <v>143</v>
      </c>
      <c r="B26">
        <f>AVERAGEIFS(Correlation_Data!G:G,Correlation_Data!B:B,A26)</f>
        <v>59.75</v>
      </c>
      <c r="C26" s="6">
        <f>AVERAGEIFS(Correlation_Data!C:C,Correlation_Data!B:B,A26)</f>
        <v>2.2623356175987753E-2</v>
      </c>
      <c r="D26" s="6">
        <f>AVERAGEIFS(Correlation_Data!F:F,Correlation_Data!B:B,A26)</f>
        <v>0.77163588344089895</v>
      </c>
      <c r="E26">
        <f>AVERAGEIFS(Correlation_Data!M:M,Correlation_Data!B:B,A26)</f>
        <v>62.5</v>
      </c>
      <c r="F26">
        <f>AVERAGEIFS(Correlation_Data!O:O,Correlation_Data!B:B,A26)</f>
        <v>74.75</v>
      </c>
      <c r="G26" s="6">
        <f>AVERAGEIFS(Correlation_Data!Q:Q,Correlation_Data!B:B,A26)</f>
        <v>0.81200745698459531</v>
      </c>
      <c r="H26">
        <f>AVERAGEIFS(Correlation_Data!T:T,Correlation_Data!B:B,A26)</f>
        <v>76.63333333333334</v>
      </c>
    </row>
    <row r="29" spans="1:8" ht="27.75" x14ac:dyDescent="0.2">
      <c r="A29" s="1" t="s">
        <v>1954</v>
      </c>
      <c r="B29" s="1" t="s">
        <v>1955</v>
      </c>
      <c r="C29" s="1" t="s">
        <v>1807</v>
      </c>
    </row>
    <row r="30" spans="1:8" x14ac:dyDescent="0.2">
      <c r="A30" t="s">
        <v>1956</v>
      </c>
      <c r="B30" t="s">
        <v>1957</v>
      </c>
      <c r="C30" t="s">
        <v>1958</v>
      </c>
    </row>
    <row r="31" spans="1:8" x14ac:dyDescent="0.2">
      <c r="A31" t="s">
        <v>1959</v>
      </c>
      <c r="B31" t="s">
        <v>1960</v>
      </c>
      <c r="C31" t="s">
        <v>1961</v>
      </c>
    </row>
    <row r="32" spans="1:8" x14ac:dyDescent="0.2">
      <c r="A32" t="s">
        <v>1962</v>
      </c>
      <c r="B32" t="s">
        <v>1963</v>
      </c>
      <c r="C32" t="s">
        <v>1964</v>
      </c>
    </row>
    <row r="33" spans="1:3" x14ac:dyDescent="0.2">
      <c r="A33" t="s">
        <v>1965</v>
      </c>
      <c r="B33" t="s">
        <v>1966</v>
      </c>
      <c r="C33" t="s">
        <v>1967</v>
      </c>
    </row>
    <row r="34" spans="1:3" x14ac:dyDescent="0.2">
      <c r="A34" t="s">
        <v>1968</v>
      </c>
      <c r="B34" t="s">
        <v>1969</v>
      </c>
      <c r="C34" t="s">
        <v>1970</v>
      </c>
    </row>
  </sheetData>
  <mergeCells count="1">
    <mergeCell ref="A1:J1"/>
  </mergeCells>
  <conditionalFormatting sqref="F4:F10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H17:H26">
    <cfRule type="dataBar" priority="2">
      <dataBar>
        <cfvo type="min"/>
        <cfvo type="max"/>
        <color rgb="FF6FA8DC"/>
      </dataBar>
    </cfRule>
    <cfRule type="dataBar" priority="3">
      <dataBar>
        <cfvo type="min"/>
        <cfvo type="max"/>
        <color rgb="FF6FA8DC"/>
      </dataBar>
      <extLst>
        <ext xmlns:x14="http://schemas.microsoft.com/office/spreadsheetml/2009/9/main" uri="{B025F937-C7B1-47D3-B67F-A62EFF666E3E}">
          <x14:id>{169BE573-5479-287D-BE93-74B15E11EBFA}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9BE573-5479-287D-BE93-74B15E11EBFA}">
            <x14:dataBar>
              <x14:cfvo type="min"/>
              <x14:cfvo type="max"/>
              <x14:negativeFillColor auto="1"/>
              <x14:axisColor auto="1"/>
            </x14:dataBar>
          </x14:cfRule>
          <xm:sqref>H17:H26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4"/>
  <sheetViews>
    <sheetView zoomScaleNormal="60" zoomScaleSheetLayoutView="100" workbookViewId="0"/>
  </sheetViews>
  <sheetFormatPr defaultRowHeight="15" x14ac:dyDescent="0.2"/>
  <cols>
    <col min="1" max="26" width="16.0078125" customWidth="1"/>
  </cols>
  <sheetData>
    <row r="1" spans="1:26" x14ac:dyDescent="0.2">
      <c r="A1" s="1" t="s">
        <v>1971</v>
      </c>
      <c r="B1" s="1" t="s">
        <v>1972</v>
      </c>
      <c r="C1" s="1" t="s">
        <v>1973</v>
      </c>
      <c r="D1" s="1" t="s">
        <v>40</v>
      </c>
      <c r="E1" s="1" t="s">
        <v>1974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t="s">
        <v>89</v>
      </c>
      <c r="B2" t="s">
        <v>92</v>
      </c>
      <c r="C2" t="s">
        <v>99</v>
      </c>
      <c r="D2" t="s">
        <v>66</v>
      </c>
      <c r="E2" t="s">
        <v>65</v>
      </c>
    </row>
    <row r="3" spans="1:26" x14ac:dyDescent="0.2">
      <c r="A3" t="s">
        <v>102</v>
      </c>
      <c r="B3" t="s">
        <v>64</v>
      </c>
      <c r="C3" t="s">
        <v>79</v>
      </c>
      <c r="D3" t="s">
        <v>78</v>
      </c>
      <c r="E3" t="s">
        <v>85</v>
      </c>
    </row>
    <row r="4" spans="1:26" x14ac:dyDescent="0.2">
      <c r="A4" t="s">
        <v>74</v>
      </c>
      <c r="B4" t="s">
        <v>120</v>
      </c>
      <c r="C4" t="s">
        <v>67</v>
      </c>
      <c r="E4" t="s">
        <v>215</v>
      </c>
    </row>
    <row r="5" spans="1:26" x14ac:dyDescent="0.2">
      <c r="A5" t="s">
        <v>108</v>
      </c>
      <c r="B5" t="s">
        <v>77</v>
      </c>
      <c r="C5" t="s">
        <v>148</v>
      </c>
      <c r="E5" t="s">
        <v>227</v>
      </c>
    </row>
    <row r="6" spans="1:26" x14ac:dyDescent="0.2">
      <c r="A6" t="s">
        <v>12</v>
      </c>
      <c r="B6" t="s">
        <v>136</v>
      </c>
      <c r="C6" t="s">
        <v>111</v>
      </c>
    </row>
    <row r="7" spans="1:26" x14ac:dyDescent="0.2">
      <c r="A7" t="s">
        <v>124</v>
      </c>
      <c r="B7" t="s">
        <v>84</v>
      </c>
      <c r="C7" t="s">
        <v>93</v>
      </c>
    </row>
    <row r="8" spans="1:26" x14ac:dyDescent="0.2">
      <c r="A8" t="s">
        <v>133</v>
      </c>
      <c r="B8" t="s">
        <v>174</v>
      </c>
      <c r="C8" t="s">
        <v>115</v>
      </c>
    </row>
    <row r="9" spans="1:26" x14ac:dyDescent="0.2">
      <c r="A9" t="s">
        <v>61</v>
      </c>
      <c r="B9" t="s">
        <v>191</v>
      </c>
      <c r="C9" t="s">
        <v>236</v>
      </c>
    </row>
    <row r="10" spans="1:26" x14ac:dyDescent="0.2">
      <c r="A10" t="s">
        <v>96</v>
      </c>
      <c r="C10" t="s">
        <v>121</v>
      </c>
    </row>
    <row r="11" spans="1:26" x14ac:dyDescent="0.2">
      <c r="A11" t="s">
        <v>143</v>
      </c>
      <c r="C11" t="s">
        <v>105</v>
      </c>
    </row>
    <row r="12" spans="1:26" x14ac:dyDescent="0.2">
      <c r="C12" t="s">
        <v>554</v>
      </c>
    </row>
    <row r="13" spans="1:26" x14ac:dyDescent="0.2">
      <c r="C13" t="s">
        <v>455</v>
      </c>
    </row>
    <row r="14" spans="1:26" x14ac:dyDescent="0.2">
      <c r="C14" t="s">
        <v>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Employees</vt:lpstr>
      <vt:lpstr>Monthly_HR</vt:lpstr>
      <vt:lpstr>Finance</vt:lpstr>
      <vt:lpstr>Brand</vt:lpstr>
      <vt:lpstr>Customer_Ops</vt:lpstr>
      <vt:lpstr>Correlation_Data</vt:lpstr>
      <vt:lpstr>Metric_Map</vt:lpstr>
      <vt:lpstr>Evidence_Readiness</vt:lpstr>
      <vt:lpstr>Dashboard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kfoury</dc:creator>
  <dcterms:created xsi:type="dcterms:W3CDTF">2026-05-23T13:40:07Z</dcterms:created>
</cp:coreProperties>
</file>